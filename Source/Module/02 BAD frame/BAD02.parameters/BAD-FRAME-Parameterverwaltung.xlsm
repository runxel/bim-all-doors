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2 BAD frame\BAD02.parameters\"/>
    </mc:Choice>
  </mc:AlternateContent>
  <bookViews>
    <workbookView xWindow="0" yWindow="-12" windowWidth="11316" windowHeight="6552" tabRatio="622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Tabelle1" sheetId="16" r:id="rId9"/>
  </sheets>
  <externalReferences>
    <externalReference r:id="rId10"/>
    <externalReference r:id="rId11"/>
  </externalReferences>
  <definedNames>
    <definedName name="ARRAY">PARAMETERS!$Z$2:$Z$294</definedName>
    <definedName name="ARRAYval">DEFAULT!$B$5:$BZ$156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base!$W$2:$W$6</definedName>
    <definedName name="NK">base!$N$3</definedName>
    <definedName name="OBJEKTNAME">'PROJECT SETTINGS'!$B$1</definedName>
    <definedName name="ParameterClass">base!$J$2:$J$3</definedName>
    <definedName name="ParameterDefault">PARAMETERS!$O$2:$O$303</definedName>
    <definedName name="PARAMETERLISTE">PARAMETERS!$A$2:$Q$303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[1]PARAMETERS!$B:$D</definedName>
    <definedName name="Stakeholder">base!$K$2:$K$6</definedName>
    <definedName name="TB">base!$A$4</definedName>
    <definedName name="temp">[2]VALUES!$B$5:$CZ$5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PARAMETERS!$AA$2:$AA$294</definedName>
    <definedName name="VALUES1dim">VALUES!$B$6:$AP$35</definedName>
    <definedName name="VALUESdim">VALUES!$B$1:$AP$1</definedName>
    <definedName name="VALUESLIST">VALUES!$B$5:$AO$96</definedName>
    <definedName name="VALUESnames">VALUES!$B$5:$AQ$5</definedName>
    <definedName name="valuesPROP">#REF!</definedName>
    <definedName name="VALUESval">VALUES!$B$6:$AP$96</definedName>
  </definedNames>
  <calcPr calcId="162913" concurrentCalc="0"/>
</workbook>
</file>

<file path=xl/calcChain.xml><?xml version="1.0" encoding="utf-8"?>
<calcChain xmlns="http://schemas.openxmlformats.org/spreadsheetml/2006/main">
  <c r="E59" i="15" l="1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132" i="15"/>
  <c r="E133" i="15"/>
  <c r="E134" i="15"/>
  <c r="E135" i="15"/>
  <c r="E136" i="15"/>
  <c r="E137" i="15"/>
  <c r="E138" i="15"/>
  <c r="E139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5" i="15"/>
  <c r="A4" i="15"/>
  <c r="A10" i="15"/>
  <c r="A20" i="16"/>
  <c r="A14" i="16"/>
  <c r="A12" i="16"/>
  <c r="A10" i="16"/>
  <c r="A4" i="16"/>
  <c r="Z6" i="6"/>
  <c r="AA6" i="6"/>
  <c r="Z7" i="6"/>
  <c r="AA7" i="6"/>
  <c r="Z8" i="6"/>
  <c r="AA8" i="6"/>
  <c r="Z9" i="6"/>
  <c r="AA9" i="6"/>
  <c r="Z10" i="6"/>
  <c r="AA10" i="6"/>
  <c r="Z11" i="6"/>
  <c r="AA11" i="6"/>
  <c r="Z12" i="6"/>
  <c r="AA12" i="6"/>
  <c r="Z13" i="6"/>
  <c r="AA13" i="6"/>
  <c r="Z14" i="6"/>
  <c r="AA14" i="6"/>
  <c r="Z15" i="6"/>
  <c r="AA15" i="6"/>
  <c r="Z16" i="6"/>
  <c r="AA16" i="6"/>
  <c r="Z17" i="6"/>
  <c r="AA17" i="6"/>
  <c r="Z18" i="6"/>
  <c r="AA18" i="6"/>
  <c r="Z19" i="6"/>
  <c r="AA19" i="6"/>
  <c r="Z20" i="6"/>
  <c r="AA20" i="6"/>
  <c r="Z21" i="6"/>
  <c r="AA21" i="6"/>
  <c r="Z22" i="6"/>
  <c r="AA22" i="6"/>
  <c r="Z23" i="6"/>
  <c r="AA23" i="6"/>
  <c r="Z24" i="6"/>
  <c r="AA24" i="6"/>
  <c r="Z25" i="6"/>
  <c r="AA25" i="6"/>
  <c r="Z26" i="6"/>
  <c r="AA26" i="6"/>
  <c r="Z27" i="6"/>
  <c r="AA27" i="6"/>
  <c r="Z28" i="6"/>
  <c r="AA28" i="6"/>
  <c r="Z29" i="6"/>
  <c r="AA29" i="6"/>
  <c r="Z30" i="6"/>
  <c r="AA30" i="6"/>
  <c r="Z31" i="6"/>
  <c r="AA31" i="6"/>
  <c r="Z32" i="6"/>
  <c r="AA32" i="6"/>
  <c r="Z33" i="6"/>
  <c r="AA33" i="6"/>
  <c r="Z34" i="6"/>
  <c r="AA34" i="6"/>
  <c r="Z35" i="6"/>
  <c r="AA35" i="6"/>
  <c r="Z36" i="6"/>
  <c r="AA36" i="6"/>
  <c r="Z37" i="6"/>
  <c r="AA37" i="6"/>
  <c r="Z38" i="6"/>
  <c r="AA38" i="6"/>
  <c r="Z39" i="6"/>
  <c r="AA39" i="6"/>
  <c r="Z40" i="6"/>
  <c r="AA40" i="6"/>
  <c r="Z41" i="6"/>
  <c r="AA41" i="6"/>
  <c r="Z42" i="6"/>
  <c r="AA42" i="6"/>
  <c r="Z43" i="6"/>
  <c r="AA43" i="6"/>
  <c r="Z44" i="6"/>
  <c r="AA44" i="6"/>
  <c r="Z45" i="6"/>
  <c r="AA45" i="6"/>
  <c r="Z46" i="6"/>
  <c r="AA46" i="6"/>
  <c r="Z47" i="6"/>
  <c r="AA47" i="6"/>
  <c r="Z48" i="6"/>
  <c r="AA48" i="6"/>
  <c r="Z49" i="6"/>
  <c r="AA49" i="6"/>
  <c r="Z50" i="6"/>
  <c r="AA50" i="6"/>
  <c r="Z51" i="6"/>
  <c r="AA51" i="6"/>
  <c r="Z52" i="6"/>
  <c r="AA52" i="6"/>
  <c r="Z53" i="6"/>
  <c r="AA53" i="6"/>
  <c r="Z54" i="6"/>
  <c r="AA54" i="6"/>
  <c r="Z55" i="6"/>
  <c r="AA55" i="6"/>
  <c r="Z56" i="6"/>
  <c r="AA56" i="6"/>
  <c r="Z57" i="6"/>
  <c r="AA57" i="6"/>
  <c r="Z58" i="6"/>
  <c r="AA58" i="6"/>
  <c r="Z59" i="6"/>
  <c r="AA59" i="6"/>
  <c r="Z60" i="6"/>
  <c r="AA60" i="6"/>
  <c r="Z61" i="6"/>
  <c r="AA61" i="6"/>
  <c r="Z62" i="6"/>
  <c r="AA62" i="6"/>
  <c r="Z63" i="6"/>
  <c r="AA63" i="6"/>
  <c r="Z64" i="6"/>
  <c r="AA64" i="6"/>
  <c r="Z65" i="6"/>
  <c r="AA65" i="6"/>
  <c r="Z66" i="6"/>
  <c r="AA66" i="6"/>
  <c r="Z67" i="6"/>
  <c r="AA67" i="6"/>
  <c r="Z68" i="6"/>
  <c r="AA68" i="6"/>
  <c r="Z69" i="6"/>
  <c r="AA69" i="6"/>
  <c r="Z70" i="6"/>
  <c r="AA70" i="6"/>
  <c r="Z71" i="6"/>
  <c r="AA71" i="6"/>
  <c r="Z72" i="6"/>
  <c r="AA72" i="6"/>
  <c r="Z73" i="6"/>
  <c r="AA73" i="6"/>
  <c r="Z74" i="6"/>
  <c r="AA74" i="6"/>
  <c r="Z75" i="6"/>
  <c r="AA75" i="6"/>
  <c r="Z76" i="6"/>
  <c r="AA76" i="6"/>
  <c r="Z77" i="6"/>
  <c r="AA77" i="6"/>
  <c r="Z78" i="6"/>
  <c r="AA78" i="6"/>
  <c r="Z79" i="6"/>
  <c r="AA79" i="6"/>
  <c r="Z80" i="6"/>
  <c r="AA80" i="6"/>
  <c r="Z81" i="6"/>
  <c r="AA81" i="6"/>
  <c r="Z82" i="6"/>
  <c r="AA82" i="6"/>
  <c r="Z83" i="6"/>
  <c r="AA83" i="6"/>
  <c r="Z84" i="6"/>
  <c r="AA84" i="6"/>
  <c r="Z85" i="6"/>
  <c r="AA85" i="6"/>
  <c r="Z86" i="6"/>
  <c r="AA86" i="6"/>
  <c r="Z87" i="6"/>
  <c r="AA87" i="6"/>
  <c r="Z88" i="6"/>
  <c r="AA88" i="6"/>
  <c r="Z89" i="6"/>
  <c r="AA89" i="6"/>
  <c r="Z90" i="6"/>
  <c r="AA90" i="6"/>
  <c r="Z91" i="6"/>
  <c r="AA91" i="6"/>
  <c r="Z92" i="6"/>
  <c r="AA92" i="6"/>
  <c r="Z93" i="6"/>
  <c r="AA93" i="6"/>
  <c r="Z94" i="6"/>
  <c r="AA94" i="6"/>
  <c r="Z95" i="6"/>
  <c r="AA95" i="6"/>
  <c r="Z96" i="6"/>
  <c r="AA96" i="6"/>
  <c r="Z97" i="6"/>
  <c r="AA97" i="6"/>
  <c r="Z98" i="6"/>
  <c r="AA98" i="6"/>
  <c r="Z99" i="6"/>
  <c r="AA99" i="6"/>
  <c r="Z100" i="6"/>
  <c r="AA100" i="6"/>
  <c r="Z101" i="6"/>
  <c r="AA101" i="6"/>
  <c r="Z102" i="6"/>
  <c r="AA102" i="6"/>
  <c r="Z103" i="6"/>
  <c r="AA103" i="6"/>
  <c r="Z104" i="6"/>
  <c r="AA104" i="6"/>
  <c r="Z105" i="6"/>
  <c r="AA105" i="6"/>
  <c r="Z106" i="6"/>
  <c r="AA106" i="6"/>
  <c r="Z107" i="6"/>
  <c r="AA107" i="6"/>
  <c r="Z108" i="6"/>
  <c r="AA108" i="6"/>
  <c r="Z109" i="6"/>
  <c r="AA109" i="6"/>
  <c r="Z110" i="6"/>
  <c r="AA110" i="6"/>
  <c r="Z111" i="6"/>
  <c r="AA111" i="6"/>
  <c r="Z112" i="6"/>
  <c r="AA112" i="6"/>
  <c r="Z113" i="6"/>
  <c r="AA113" i="6"/>
  <c r="Z114" i="6"/>
  <c r="AA114" i="6"/>
  <c r="Z115" i="6"/>
  <c r="AA115" i="6"/>
  <c r="Z116" i="6"/>
  <c r="AA116" i="6"/>
  <c r="Z117" i="6"/>
  <c r="AA117" i="6"/>
  <c r="Z118" i="6"/>
  <c r="AA118" i="6"/>
  <c r="Z119" i="6"/>
  <c r="AA119" i="6"/>
  <c r="Z120" i="6"/>
  <c r="AA120" i="6"/>
  <c r="Z121" i="6"/>
  <c r="AA121" i="6"/>
  <c r="O122" i="6"/>
  <c r="Z122" i="6"/>
  <c r="AA122" i="6"/>
  <c r="Z123" i="6"/>
  <c r="AA123" i="6"/>
  <c r="Z124" i="6"/>
  <c r="AA124" i="6"/>
  <c r="Z125" i="6"/>
  <c r="AA125" i="6"/>
  <c r="Z126" i="6"/>
  <c r="AA126" i="6"/>
  <c r="Z127" i="6"/>
  <c r="AA127" i="6"/>
  <c r="Z128" i="6"/>
  <c r="AA128" i="6"/>
  <c r="Z129" i="6"/>
  <c r="AA129" i="6"/>
  <c r="Z130" i="6"/>
  <c r="AA130" i="6"/>
  <c r="Z131" i="6"/>
  <c r="AA131" i="6"/>
  <c r="Z132" i="6"/>
  <c r="AA132" i="6"/>
  <c r="Z133" i="6"/>
  <c r="AA133" i="6"/>
  <c r="Z134" i="6"/>
  <c r="AA134" i="6"/>
  <c r="Z135" i="6"/>
  <c r="AA135" i="6"/>
  <c r="Z136" i="6"/>
  <c r="AA136" i="6"/>
  <c r="Z137" i="6"/>
  <c r="AA137" i="6"/>
  <c r="Z138" i="6"/>
  <c r="AA138" i="6"/>
  <c r="Z139" i="6"/>
  <c r="AA139" i="6"/>
  <c r="Z140" i="6"/>
  <c r="AA140" i="6"/>
  <c r="Z141" i="6"/>
  <c r="AA141" i="6"/>
  <c r="Z142" i="6"/>
  <c r="AA142" i="6"/>
  <c r="Z143" i="6"/>
  <c r="AA143" i="6"/>
  <c r="Z144" i="6"/>
  <c r="AA144" i="6"/>
  <c r="Z145" i="6"/>
  <c r="AA145" i="6"/>
  <c r="Z146" i="6"/>
  <c r="AA146" i="6"/>
  <c r="Z147" i="6"/>
  <c r="AA147" i="6"/>
  <c r="Z148" i="6"/>
  <c r="AA148" i="6"/>
  <c r="Z149" i="6"/>
  <c r="AA149" i="6"/>
  <c r="Z150" i="6"/>
  <c r="AA150" i="6"/>
  <c r="Z151" i="6"/>
  <c r="AA151" i="6"/>
  <c r="Z152" i="6"/>
  <c r="AA152" i="6"/>
  <c r="Z153" i="6"/>
  <c r="AA153" i="6"/>
  <c r="Z154" i="6"/>
  <c r="AA154" i="6"/>
  <c r="Z155" i="6"/>
  <c r="AA155" i="6"/>
  <c r="Z156" i="6"/>
  <c r="AA156" i="6"/>
  <c r="Z157" i="6"/>
  <c r="AA157" i="6"/>
  <c r="Z158" i="6"/>
  <c r="AA158" i="6"/>
  <c r="Z159" i="6"/>
  <c r="AA159" i="6"/>
  <c r="Z160" i="6"/>
  <c r="AA160" i="6"/>
  <c r="Z161" i="6"/>
  <c r="AA161" i="6"/>
  <c r="Z162" i="6"/>
  <c r="AA162" i="6"/>
  <c r="Z163" i="6"/>
  <c r="AA163" i="6"/>
  <c r="Z164" i="6"/>
  <c r="AA164" i="6"/>
  <c r="Z165" i="6"/>
  <c r="AA165" i="6"/>
  <c r="Z166" i="6"/>
  <c r="AA166" i="6"/>
  <c r="Z167" i="6"/>
  <c r="AA167" i="6"/>
  <c r="Z168" i="6"/>
  <c r="AA168" i="6"/>
  <c r="Z169" i="6"/>
  <c r="AA169" i="6"/>
  <c r="Z170" i="6"/>
  <c r="AA170" i="6"/>
  <c r="Z171" i="6"/>
  <c r="AA171" i="6"/>
  <c r="Z172" i="6"/>
  <c r="AA172" i="6"/>
  <c r="Z173" i="6"/>
  <c r="AA173" i="6"/>
  <c r="Z174" i="6"/>
  <c r="AA174" i="6"/>
  <c r="Z175" i="6"/>
  <c r="AA175" i="6"/>
  <c r="Z176" i="6"/>
  <c r="AA176" i="6"/>
  <c r="Z177" i="6"/>
  <c r="AA177" i="6"/>
  <c r="Z178" i="6"/>
  <c r="AA178" i="6"/>
  <c r="Z179" i="6"/>
  <c r="AA179" i="6"/>
  <c r="Z180" i="6"/>
  <c r="AA180" i="6"/>
  <c r="Z181" i="6"/>
  <c r="AA181" i="6"/>
  <c r="Z182" i="6"/>
  <c r="AA182" i="6"/>
  <c r="Z183" i="6"/>
  <c r="AA183" i="6"/>
  <c r="Z184" i="6"/>
  <c r="AA184" i="6"/>
  <c r="Z185" i="6"/>
  <c r="AA185" i="6"/>
  <c r="Z186" i="6"/>
  <c r="AA186" i="6"/>
  <c r="Z187" i="6"/>
  <c r="AA187" i="6"/>
  <c r="Z188" i="6"/>
  <c r="AA188" i="6"/>
  <c r="Z189" i="6"/>
  <c r="AA189" i="6"/>
  <c r="Z190" i="6"/>
  <c r="AA190" i="6"/>
  <c r="Z191" i="6"/>
  <c r="AA191" i="6"/>
  <c r="Z192" i="6"/>
  <c r="AA192" i="6"/>
  <c r="Z193" i="6"/>
  <c r="AA193" i="6"/>
  <c r="Z194" i="6"/>
  <c r="AA194" i="6"/>
  <c r="Z195" i="6"/>
  <c r="AA195" i="6"/>
  <c r="Z196" i="6"/>
  <c r="AA196" i="6"/>
  <c r="Z197" i="6"/>
  <c r="AA197" i="6"/>
  <c r="Z198" i="6"/>
  <c r="AA198" i="6"/>
  <c r="Z199" i="6"/>
  <c r="AA199" i="6"/>
  <c r="Z200" i="6"/>
  <c r="AA200" i="6"/>
  <c r="Z201" i="6"/>
  <c r="AA201" i="6"/>
  <c r="Z202" i="6"/>
  <c r="AA202" i="6"/>
  <c r="Z203" i="6"/>
  <c r="AA203" i="6"/>
  <c r="Z204" i="6"/>
  <c r="AA204" i="6"/>
  <c r="Z205" i="6"/>
  <c r="AA205" i="6"/>
  <c r="Z206" i="6"/>
  <c r="AA206" i="6"/>
  <c r="Z207" i="6"/>
  <c r="AA207" i="6"/>
  <c r="Z208" i="6"/>
  <c r="AA208" i="6"/>
  <c r="Z209" i="6"/>
  <c r="AA209" i="6"/>
  <c r="Z210" i="6"/>
  <c r="AA210" i="6"/>
  <c r="Z211" i="6"/>
  <c r="AA211" i="6"/>
  <c r="Z212" i="6"/>
  <c r="AA212" i="6"/>
  <c r="Z213" i="6"/>
  <c r="AA213" i="6"/>
  <c r="Z214" i="6"/>
  <c r="AA214" i="6"/>
  <c r="C116" i="6"/>
  <c r="B116" i="6"/>
  <c r="C115" i="6"/>
  <c r="B115" i="6"/>
  <c r="C114" i="6"/>
  <c r="B114" i="6"/>
  <c r="C113" i="6"/>
  <c r="B113" i="6"/>
  <c r="C112" i="6"/>
  <c r="B112" i="6"/>
  <c r="C111" i="6"/>
  <c r="B111" i="6"/>
  <c r="C110" i="6"/>
  <c r="B110" i="6"/>
  <c r="C109" i="6"/>
  <c r="B109" i="6"/>
  <c r="C108" i="6"/>
  <c r="B108" i="6"/>
  <c r="C107" i="6"/>
  <c r="B107" i="6"/>
  <c r="C106" i="6"/>
  <c r="B106" i="6"/>
  <c r="C105" i="6"/>
  <c r="B105" i="6"/>
  <c r="C104" i="6"/>
  <c r="B104" i="6"/>
  <c r="C103" i="6"/>
  <c r="B103" i="6"/>
  <c r="C102" i="6"/>
  <c r="B102" i="6"/>
  <c r="C101" i="6"/>
  <c r="B101" i="6"/>
  <c r="C100" i="6"/>
  <c r="B100" i="6"/>
  <c r="C99" i="6"/>
  <c r="B99" i="6"/>
  <c r="C98" i="6"/>
  <c r="B98" i="6"/>
  <c r="C97" i="6"/>
  <c r="B97" i="6"/>
  <c r="C96" i="6"/>
  <c r="B96" i="6"/>
  <c r="C95" i="6"/>
  <c r="B95" i="6"/>
  <c r="C94" i="6"/>
  <c r="B94" i="6"/>
  <c r="C93" i="6"/>
  <c r="B93" i="6"/>
  <c r="C92" i="6"/>
  <c r="B92" i="6"/>
  <c r="C91" i="6"/>
  <c r="B91" i="6"/>
  <c r="C90" i="6"/>
  <c r="B90" i="6"/>
  <c r="C89" i="6"/>
  <c r="B89" i="6"/>
  <c r="C88" i="6"/>
  <c r="B88" i="6"/>
  <c r="C87" i="6"/>
  <c r="B87" i="6"/>
  <c r="C86" i="6"/>
  <c r="B86" i="6"/>
  <c r="C85" i="6"/>
  <c r="B85" i="6"/>
  <c r="C84" i="6"/>
  <c r="B84" i="6"/>
  <c r="C83" i="6"/>
  <c r="B83" i="6"/>
  <c r="C82" i="6"/>
  <c r="B82" i="6"/>
  <c r="C81" i="6"/>
  <c r="B81" i="6"/>
  <c r="C80" i="6"/>
  <c r="B80" i="6"/>
  <c r="C79" i="6"/>
  <c r="B79" i="6"/>
  <c r="B8" i="1"/>
  <c r="C74" i="6"/>
  <c r="B74" i="6"/>
  <c r="C150" i="6"/>
  <c r="B150" i="6"/>
  <c r="AC205" i="6"/>
  <c r="AB205" i="6"/>
  <c r="AC206" i="6"/>
  <c r="AB206" i="6"/>
  <c r="AC207" i="6"/>
  <c r="AB207" i="6"/>
  <c r="AC208" i="6"/>
  <c r="AB208" i="6"/>
  <c r="AC209" i="6"/>
  <c r="AB209" i="6"/>
  <c r="AC210" i="6"/>
  <c r="AB210" i="6"/>
  <c r="AC211" i="6"/>
  <c r="AB211" i="6"/>
  <c r="AB212" i="6"/>
  <c r="AC212" i="6"/>
  <c r="W206" i="6"/>
  <c r="B206" i="6"/>
  <c r="C206" i="6"/>
  <c r="W207" i="6"/>
  <c r="C207" i="6"/>
  <c r="B207" i="6"/>
  <c r="Z222" i="6"/>
  <c r="AA222" i="6"/>
  <c r="AB222" i="6"/>
  <c r="Z223" i="6"/>
  <c r="AA223" i="6"/>
  <c r="AB223" i="6"/>
  <c r="Z224" i="6"/>
  <c r="AA224" i="6"/>
  <c r="AC224" i="6"/>
  <c r="AB224" i="6"/>
  <c r="Z225" i="6"/>
  <c r="AA225" i="6"/>
  <c r="AB225" i="6"/>
  <c r="Z226" i="6"/>
  <c r="AA226" i="6"/>
  <c r="B226" i="6"/>
  <c r="AB226" i="6"/>
  <c r="Z227" i="6"/>
  <c r="AA227" i="6"/>
  <c r="AC227" i="6"/>
  <c r="AB227" i="6"/>
  <c r="Z228" i="6"/>
  <c r="AA228" i="6"/>
  <c r="AB228" i="6"/>
  <c r="Z229" i="6"/>
  <c r="AA229" i="6"/>
  <c r="AB229" i="6"/>
  <c r="Z230" i="6"/>
  <c r="AA230" i="6"/>
  <c r="B230" i="6"/>
  <c r="AB230" i="6"/>
  <c r="Z231" i="6"/>
  <c r="AA231" i="6"/>
  <c r="AB231" i="6"/>
  <c r="Z232" i="6"/>
  <c r="AA232" i="6"/>
  <c r="AC232" i="6"/>
  <c r="AB232" i="6"/>
  <c r="Z233" i="6"/>
  <c r="AA233" i="6"/>
  <c r="AB233" i="6"/>
  <c r="Z234" i="6"/>
  <c r="AA234" i="6"/>
  <c r="AB234" i="6"/>
  <c r="AC226" i="6"/>
  <c r="C226" i="6"/>
  <c r="AC225" i="6"/>
  <c r="C225" i="6"/>
  <c r="B225" i="6"/>
  <c r="AA217" i="6"/>
  <c r="Z217" i="6"/>
  <c r="C217" i="6"/>
  <c r="AB217" i="6"/>
  <c r="B196" i="6"/>
  <c r="C196" i="6"/>
  <c r="AC185" i="6"/>
  <c r="AB185" i="6"/>
  <c r="C185" i="6"/>
  <c r="AB91" i="6"/>
  <c r="AB92" i="6"/>
  <c r="C216" i="6"/>
  <c r="AA216" i="6"/>
  <c r="AC216" i="6"/>
  <c r="Z216" i="6"/>
  <c r="AB216" i="6"/>
  <c r="AB157" i="6"/>
  <c r="C157" i="6"/>
  <c r="C159" i="6"/>
  <c r="AB159" i="6"/>
  <c r="A8" i="5"/>
  <c r="Q1" i="8"/>
  <c r="AB127" i="6"/>
  <c r="C127" i="6"/>
  <c r="C128" i="6"/>
  <c r="B128" i="6"/>
  <c r="AC126" i="6"/>
  <c r="AB126" i="6"/>
  <c r="AB128" i="6"/>
  <c r="E1" i="8"/>
  <c r="AC140" i="6"/>
  <c r="AB140" i="6"/>
  <c r="AC141" i="6"/>
  <c r="AB141" i="6"/>
  <c r="AC142" i="6"/>
  <c r="AB142" i="6"/>
  <c r="AC143" i="6"/>
  <c r="AB143" i="6"/>
  <c r="AC144" i="6"/>
  <c r="AB144" i="6"/>
  <c r="AC145" i="6"/>
  <c r="AB145" i="6"/>
  <c r="AC129" i="6"/>
  <c r="AB129" i="6"/>
  <c r="C140" i="6"/>
  <c r="C141" i="6"/>
  <c r="C142" i="6"/>
  <c r="C143" i="6"/>
  <c r="C144" i="6"/>
  <c r="C145" i="6"/>
  <c r="C211" i="6"/>
  <c r="C210" i="6"/>
  <c r="C209" i="6"/>
  <c r="C208" i="6"/>
  <c r="C205" i="6"/>
  <c r="AC213" i="6"/>
  <c r="C213" i="6"/>
  <c r="AB213" i="6"/>
  <c r="AC214" i="6"/>
  <c r="C214" i="6"/>
  <c r="AB214" i="6"/>
  <c r="AA215" i="6"/>
  <c r="AC215" i="6"/>
  <c r="Z215" i="6"/>
  <c r="C215" i="6"/>
  <c r="AB215" i="6"/>
  <c r="Z218" i="6"/>
  <c r="AA218" i="6"/>
  <c r="AC218" i="6"/>
  <c r="AB218" i="6"/>
  <c r="AA219" i="6"/>
  <c r="AC219" i="6"/>
  <c r="Z219" i="6"/>
  <c r="C219" i="6"/>
  <c r="AB219" i="6"/>
  <c r="AA220" i="6"/>
  <c r="AC220" i="6"/>
  <c r="Z220" i="6"/>
  <c r="C220" i="6"/>
  <c r="AB220" i="6"/>
  <c r="AA221" i="6"/>
  <c r="AC221" i="6"/>
  <c r="Z221" i="6"/>
  <c r="C221" i="6"/>
  <c r="AB221" i="6"/>
  <c r="C222" i="6"/>
  <c r="AC222" i="6"/>
  <c r="B223" i="6"/>
  <c r="C223" i="6"/>
  <c r="AC223" i="6"/>
  <c r="C224" i="6"/>
  <c r="F1" i="8"/>
  <c r="E3" i="8"/>
  <c r="E2" i="8"/>
  <c r="H3" i="7"/>
  <c r="H2" i="7"/>
  <c r="I3" i="7"/>
  <c r="I2" i="7"/>
  <c r="J3" i="7"/>
  <c r="J2" i="7"/>
  <c r="H4" i="7"/>
  <c r="Q9" i="5"/>
  <c r="I4" i="7"/>
  <c r="J4" i="7"/>
  <c r="B169" i="6"/>
  <c r="AB169" i="6"/>
  <c r="P1" i="8"/>
  <c r="AB170" i="6"/>
  <c r="AC171" i="6"/>
  <c r="AB171" i="6"/>
  <c r="AC172" i="6"/>
  <c r="AB172" i="6"/>
  <c r="B173" i="6"/>
  <c r="AB173" i="6"/>
  <c r="G1" i="8"/>
  <c r="AC174" i="6"/>
  <c r="AB174" i="6"/>
  <c r="B177" i="6"/>
  <c r="AC177" i="6"/>
  <c r="AB177" i="6"/>
  <c r="B178" i="6"/>
  <c r="AC178" i="6"/>
  <c r="AB178" i="6"/>
  <c r="AC179" i="6"/>
  <c r="AB179" i="6"/>
  <c r="AC180" i="6"/>
  <c r="AB180" i="6"/>
  <c r="AC181" i="6"/>
  <c r="AB181" i="6"/>
  <c r="AC182" i="6"/>
  <c r="AB182" i="6"/>
  <c r="AC183" i="6"/>
  <c r="AB183" i="6"/>
  <c r="AC184" i="6"/>
  <c r="AB184" i="6"/>
  <c r="AC186" i="6"/>
  <c r="AB186" i="6"/>
  <c r="AC187" i="6"/>
  <c r="AB187" i="6"/>
  <c r="AC188" i="6"/>
  <c r="AB188" i="6"/>
  <c r="AC189" i="6"/>
  <c r="AB189" i="6"/>
  <c r="AC190" i="6"/>
  <c r="AB190" i="6"/>
  <c r="AC191" i="6"/>
  <c r="AB191" i="6"/>
  <c r="AC192" i="6"/>
  <c r="AB192" i="6"/>
  <c r="AC193" i="6"/>
  <c r="AB193" i="6"/>
  <c r="H1" i="8"/>
  <c r="I1" i="8"/>
  <c r="G3" i="8"/>
  <c r="G2" i="8"/>
  <c r="H3" i="8"/>
  <c r="H2" i="8"/>
  <c r="I3" i="8"/>
  <c r="I2" i="8"/>
  <c r="AC130" i="6"/>
  <c r="AB130" i="6"/>
  <c r="AB131" i="6"/>
  <c r="AC132" i="6"/>
  <c r="AB132" i="6"/>
  <c r="AB133" i="6"/>
  <c r="C126" i="6"/>
  <c r="C125" i="6"/>
  <c r="AC125" i="6"/>
  <c r="AB125" i="6"/>
  <c r="C204" i="6"/>
  <c r="AC204" i="6"/>
  <c r="C195" i="6"/>
  <c r="B195" i="6"/>
  <c r="C194" i="6"/>
  <c r="B194" i="6"/>
  <c r="AC107" i="6"/>
  <c r="AB107" i="6"/>
  <c r="AB108" i="6"/>
  <c r="J1" i="8"/>
  <c r="J3" i="8"/>
  <c r="J2" i="8"/>
  <c r="D8" i="8"/>
  <c r="B3" i="7"/>
  <c r="B2" i="7"/>
  <c r="C3" i="7"/>
  <c r="C2" i="7"/>
  <c r="B3" i="13"/>
  <c r="B13" i="13"/>
  <c r="C6" i="7"/>
  <c r="D3" i="7"/>
  <c r="D2" i="7"/>
  <c r="C13" i="13"/>
  <c r="D6" i="7"/>
  <c r="E3" i="7"/>
  <c r="E2" i="7"/>
  <c r="D4" i="13"/>
  <c r="D13" i="13"/>
  <c r="E6" i="7"/>
  <c r="F3" i="7"/>
  <c r="F2" i="7"/>
  <c r="G3" i="7"/>
  <c r="G2" i="7"/>
  <c r="M4" i="7"/>
  <c r="B4" i="7"/>
  <c r="C4" i="7"/>
  <c r="E4" i="7"/>
  <c r="G4" i="7"/>
  <c r="L4" i="7"/>
  <c r="N4" i="7"/>
  <c r="O4" i="7"/>
  <c r="P4" i="7"/>
  <c r="R4" i="7"/>
  <c r="AA287" i="6"/>
  <c r="AC287" i="6"/>
  <c r="Z287" i="6"/>
  <c r="C287" i="6"/>
  <c r="AB287" i="6"/>
  <c r="D1" i="8"/>
  <c r="C256" i="6"/>
  <c r="AA256" i="6"/>
  <c r="AC256" i="6"/>
  <c r="Z256" i="6"/>
  <c r="C255" i="6"/>
  <c r="AA255" i="6"/>
  <c r="AC255" i="6"/>
  <c r="Z255" i="6"/>
  <c r="C254" i="6"/>
  <c r="AA254" i="6"/>
  <c r="Z254" i="6"/>
  <c r="C253" i="6"/>
  <c r="AA253" i="6"/>
  <c r="Z253" i="6"/>
  <c r="C252" i="6"/>
  <c r="AA252" i="6"/>
  <c r="Z252" i="6"/>
  <c r="C251" i="6"/>
  <c r="AA251" i="6"/>
  <c r="AC251" i="6"/>
  <c r="Z251" i="6"/>
  <c r="C250" i="6"/>
  <c r="AA250" i="6"/>
  <c r="Z250" i="6"/>
  <c r="C249" i="6"/>
  <c r="AA249" i="6"/>
  <c r="Z249" i="6"/>
  <c r="C248" i="6"/>
  <c r="AA248" i="6"/>
  <c r="Z248" i="6"/>
  <c r="C247" i="6"/>
  <c r="AA247" i="6"/>
  <c r="AC247" i="6"/>
  <c r="Z247" i="6"/>
  <c r="C246" i="6"/>
  <c r="AA246" i="6"/>
  <c r="Z246" i="6"/>
  <c r="C245" i="6"/>
  <c r="AA245" i="6"/>
  <c r="AC245" i="6"/>
  <c r="Z245" i="6"/>
  <c r="C244" i="6"/>
  <c r="AA244" i="6"/>
  <c r="Z244" i="6"/>
  <c r="C243" i="6"/>
  <c r="AA243" i="6"/>
  <c r="AC243" i="6"/>
  <c r="Z243" i="6"/>
  <c r="C242" i="6"/>
  <c r="AA242" i="6"/>
  <c r="Z242" i="6"/>
  <c r="C241" i="6"/>
  <c r="AA241" i="6"/>
  <c r="Z241" i="6"/>
  <c r="C240" i="6"/>
  <c r="AA240" i="6"/>
  <c r="Z240" i="6"/>
  <c r="C239" i="6"/>
  <c r="AA239" i="6"/>
  <c r="AC239" i="6"/>
  <c r="Z239" i="6"/>
  <c r="C238" i="6"/>
  <c r="AA238" i="6"/>
  <c r="Z238" i="6"/>
  <c r="C237" i="6"/>
  <c r="AA237" i="6"/>
  <c r="AC237" i="6"/>
  <c r="Z237" i="6"/>
  <c r="C236" i="6"/>
  <c r="AA236" i="6"/>
  <c r="Z236" i="6"/>
  <c r="C235" i="6"/>
  <c r="AA235" i="6"/>
  <c r="AC235" i="6"/>
  <c r="Z235" i="6"/>
  <c r="C234" i="6"/>
  <c r="B234" i="6"/>
  <c r="C233" i="6"/>
  <c r="B233" i="6"/>
  <c r="C232" i="6"/>
  <c r="C231" i="6"/>
  <c r="B231" i="6"/>
  <c r="C230" i="6"/>
  <c r="C229" i="6"/>
  <c r="B229" i="6"/>
  <c r="C203" i="6"/>
  <c r="AC203" i="6"/>
  <c r="C202" i="6"/>
  <c r="C201" i="6"/>
  <c r="AC201" i="6"/>
  <c r="C200" i="6"/>
  <c r="C199" i="6"/>
  <c r="C198" i="6"/>
  <c r="C197" i="6"/>
  <c r="C191" i="6"/>
  <c r="C190" i="6"/>
  <c r="C189" i="6"/>
  <c r="B189" i="6"/>
  <c r="C188" i="6"/>
  <c r="C187" i="6"/>
  <c r="C186" i="6"/>
  <c r="C184" i="6"/>
  <c r="C183" i="6"/>
  <c r="B183" i="6"/>
  <c r="C182" i="6"/>
  <c r="C181" i="6"/>
  <c r="C180" i="6"/>
  <c r="B180" i="6"/>
  <c r="C179" i="6"/>
  <c r="C178" i="6"/>
  <c r="C177" i="6"/>
  <c r="C171" i="6"/>
  <c r="B171" i="6"/>
  <c r="C170" i="6"/>
  <c r="C169" i="6"/>
  <c r="C168" i="6"/>
  <c r="B168" i="6"/>
  <c r="C167" i="6"/>
  <c r="C166" i="6"/>
  <c r="C165" i="6"/>
  <c r="C164" i="6"/>
  <c r="C163" i="6"/>
  <c r="AC163" i="6"/>
  <c r="C162" i="6"/>
  <c r="C161" i="6"/>
  <c r="AC161" i="6"/>
  <c r="C160" i="6"/>
  <c r="C158" i="6"/>
  <c r="C156" i="6"/>
  <c r="B156" i="6"/>
  <c r="C155" i="6"/>
  <c r="B155" i="6"/>
  <c r="C154" i="6"/>
  <c r="B154" i="6"/>
  <c r="C153" i="6"/>
  <c r="C152" i="6"/>
  <c r="AC152" i="6"/>
  <c r="C151" i="6"/>
  <c r="C149" i="6"/>
  <c r="C148" i="6"/>
  <c r="C147" i="6"/>
  <c r="C146" i="6"/>
  <c r="AC146" i="6"/>
  <c r="C138" i="6"/>
  <c r="C137" i="6"/>
  <c r="C136" i="6"/>
  <c r="C135" i="6"/>
  <c r="C134" i="6"/>
  <c r="C133" i="6"/>
  <c r="C132" i="6"/>
  <c r="C131" i="6"/>
  <c r="C130" i="6"/>
  <c r="C129" i="6"/>
  <c r="C124" i="6"/>
  <c r="B124" i="6"/>
  <c r="C123" i="6"/>
  <c r="AC123" i="6"/>
  <c r="C122" i="6"/>
  <c r="B122" i="6"/>
  <c r="C121" i="6"/>
  <c r="C120" i="6"/>
  <c r="C119" i="6"/>
  <c r="B119" i="6"/>
  <c r="C118" i="6"/>
  <c r="C117" i="6"/>
  <c r="AC80" i="6"/>
  <c r="C78" i="6"/>
  <c r="C77" i="6"/>
  <c r="B77" i="6"/>
  <c r="C76" i="6"/>
  <c r="C75" i="6"/>
  <c r="B75" i="6"/>
  <c r="C73" i="6"/>
  <c r="AC73" i="6"/>
  <c r="C72" i="6"/>
  <c r="B72" i="6"/>
  <c r="C71" i="6"/>
  <c r="B71" i="6"/>
  <c r="C70" i="6"/>
  <c r="C69" i="6"/>
  <c r="B69" i="6"/>
  <c r="C68" i="6"/>
  <c r="C67" i="6"/>
  <c r="B67" i="6"/>
  <c r="C66" i="6"/>
  <c r="B66" i="6"/>
  <c r="C65" i="6"/>
  <c r="C64" i="6"/>
  <c r="B64" i="6"/>
  <c r="AB161" i="6"/>
  <c r="AB160" i="6"/>
  <c r="AB158" i="6"/>
  <c r="AB156" i="6"/>
  <c r="AB155" i="6"/>
  <c r="K1" i="8"/>
  <c r="AB154" i="6"/>
  <c r="AC153" i="6"/>
  <c r="AB153" i="6"/>
  <c r="AB152" i="6"/>
  <c r="AC151" i="6"/>
  <c r="AB151" i="6"/>
  <c r="AB150" i="6"/>
  <c r="AB149" i="6"/>
  <c r="AB148" i="6"/>
  <c r="AC147" i="6"/>
  <c r="AB147" i="6"/>
  <c r="AB146" i="6"/>
  <c r="AB138" i="6"/>
  <c r="AB137" i="6"/>
  <c r="AB136" i="6"/>
  <c r="AB135" i="6"/>
  <c r="AB134" i="6"/>
  <c r="AB124" i="6"/>
  <c r="AB123" i="6"/>
  <c r="AB122" i="6"/>
  <c r="AB121" i="6"/>
  <c r="AB120" i="6"/>
  <c r="AB119" i="6"/>
  <c r="AB118" i="6"/>
  <c r="AB248" i="6"/>
  <c r="AB247" i="6"/>
  <c r="AC246" i="6"/>
  <c r="AB246" i="6"/>
  <c r="AB245" i="6"/>
  <c r="AB244" i="6"/>
  <c r="AB243" i="6"/>
  <c r="AB242" i="6"/>
  <c r="AC241" i="6"/>
  <c r="AB241" i="6"/>
  <c r="AB240" i="6"/>
  <c r="AB239" i="6"/>
  <c r="AC238" i="6"/>
  <c r="AB238" i="6"/>
  <c r="AB237" i="6"/>
  <c r="AC236" i="6"/>
  <c r="AB236" i="6"/>
  <c r="AB235" i="6"/>
  <c r="AC234" i="6"/>
  <c r="AC233" i="6"/>
  <c r="AC231" i="6"/>
  <c r="AC230" i="6"/>
  <c r="AC229" i="6"/>
  <c r="AB203" i="6"/>
  <c r="AB202" i="6"/>
  <c r="AB201" i="6"/>
  <c r="AB200" i="6"/>
  <c r="AB199" i="6"/>
  <c r="AB198" i="6"/>
  <c r="AB197" i="6"/>
  <c r="N1" i="8"/>
  <c r="AB168" i="6"/>
  <c r="AC167" i="6"/>
  <c r="AB167" i="6"/>
  <c r="AB166" i="6"/>
  <c r="AB165" i="6"/>
  <c r="AB164" i="6"/>
  <c r="AB163" i="6"/>
  <c r="AB256" i="6"/>
  <c r="AB255" i="6"/>
  <c r="AC254" i="6"/>
  <c r="AB254" i="6"/>
  <c r="AB253" i="6"/>
  <c r="AB252" i="6"/>
  <c r="AB251" i="6"/>
  <c r="AC250" i="6"/>
  <c r="AB250" i="6"/>
  <c r="C172" i="6"/>
  <c r="C173" i="6"/>
  <c r="C174" i="6"/>
  <c r="C227" i="6"/>
  <c r="B228" i="6"/>
  <c r="C228" i="6"/>
  <c r="AA258" i="6"/>
  <c r="Z258" i="6"/>
  <c r="C258" i="6"/>
  <c r="AA259" i="6"/>
  <c r="Z259" i="6"/>
  <c r="C259" i="6"/>
  <c r="AA260" i="6"/>
  <c r="Z260" i="6"/>
  <c r="C260" i="6"/>
  <c r="AA261" i="6"/>
  <c r="AC261" i="6"/>
  <c r="Z261" i="6"/>
  <c r="C261" i="6"/>
  <c r="AA262" i="6"/>
  <c r="Z262" i="6"/>
  <c r="C262" i="6"/>
  <c r="AA263" i="6"/>
  <c r="Z263" i="6"/>
  <c r="C263" i="6"/>
  <c r="AA264" i="6"/>
  <c r="Z264" i="6"/>
  <c r="C264" i="6"/>
  <c r="AA265" i="6"/>
  <c r="AC265" i="6"/>
  <c r="Z265" i="6"/>
  <c r="C265" i="6"/>
  <c r="AA266" i="6"/>
  <c r="Z266" i="6"/>
  <c r="C266" i="6"/>
  <c r="AA267" i="6"/>
  <c r="Z267" i="6"/>
  <c r="C267" i="6"/>
  <c r="AA268" i="6"/>
  <c r="Z268" i="6"/>
  <c r="C268" i="6"/>
  <c r="AA269" i="6"/>
  <c r="AC269" i="6"/>
  <c r="Z269" i="6"/>
  <c r="C269" i="6"/>
  <c r="AA270" i="6"/>
  <c r="Z270" i="6"/>
  <c r="C270" i="6"/>
  <c r="AA271" i="6"/>
  <c r="Z271" i="6"/>
  <c r="C271" i="6"/>
  <c r="AA272" i="6"/>
  <c r="Z272" i="6"/>
  <c r="C272" i="6"/>
  <c r="AA273" i="6"/>
  <c r="AC273" i="6"/>
  <c r="Z273" i="6"/>
  <c r="C273" i="6"/>
  <c r="AA274" i="6"/>
  <c r="Z274" i="6"/>
  <c r="C274" i="6"/>
  <c r="AA275" i="6"/>
  <c r="B275" i="6"/>
  <c r="C275" i="6"/>
  <c r="AA276" i="6"/>
  <c r="Z276" i="6"/>
  <c r="B276" i="6"/>
  <c r="C276" i="6"/>
  <c r="AA277" i="6"/>
  <c r="Z277" i="6"/>
  <c r="C277" i="6"/>
  <c r="AA278" i="6"/>
  <c r="Z278" i="6"/>
  <c r="C278" i="6"/>
  <c r="AA279" i="6"/>
  <c r="Z279" i="6"/>
  <c r="C279" i="6"/>
  <c r="AA280" i="6"/>
  <c r="Z280" i="6"/>
  <c r="C280" i="6"/>
  <c r="AA281" i="6"/>
  <c r="Z281" i="6"/>
  <c r="C281" i="6"/>
  <c r="AA282" i="6"/>
  <c r="Z282" i="6"/>
  <c r="C282" i="6"/>
  <c r="AA283" i="6"/>
  <c r="Z283" i="6"/>
  <c r="C283" i="6"/>
  <c r="AA284" i="6"/>
  <c r="Z284" i="6"/>
  <c r="B284" i="6"/>
  <c r="C284" i="6"/>
  <c r="AA285" i="6"/>
  <c r="Z285" i="6"/>
  <c r="C285" i="6"/>
  <c r="AA286" i="6"/>
  <c r="Z286" i="6"/>
  <c r="C286" i="6"/>
  <c r="AA288" i="6"/>
  <c r="Z288" i="6"/>
  <c r="C288" i="6"/>
  <c r="AA289" i="6"/>
  <c r="Z289" i="6"/>
  <c r="C289" i="6"/>
  <c r="AA290" i="6"/>
  <c r="Z290" i="6"/>
  <c r="C290" i="6"/>
  <c r="AA291" i="6"/>
  <c r="Z291" i="6"/>
  <c r="C291" i="6"/>
  <c r="AA292" i="6"/>
  <c r="Z292" i="6"/>
  <c r="C292" i="6"/>
  <c r="AA293" i="6"/>
  <c r="Z293" i="6"/>
  <c r="B293" i="6"/>
  <c r="C293" i="6"/>
  <c r="AA294" i="6"/>
  <c r="Z294" i="6"/>
  <c r="C294" i="6"/>
  <c r="AA295" i="6"/>
  <c r="Z295" i="6"/>
  <c r="C295" i="6"/>
  <c r="AA296" i="6"/>
  <c r="Z296" i="6"/>
  <c r="C296" i="6"/>
  <c r="AA297" i="6"/>
  <c r="Z297" i="6"/>
  <c r="C297" i="6"/>
  <c r="AA298" i="6"/>
  <c r="Z298" i="6"/>
  <c r="C298" i="6"/>
  <c r="AA299" i="6"/>
  <c r="Z299" i="6"/>
  <c r="C299" i="6"/>
  <c r="AA300" i="6"/>
  <c r="Z300" i="6"/>
  <c r="C300" i="6"/>
  <c r="AA301" i="6"/>
  <c r="Z301" i="6"/>
  <c r="B301" i="6"/>
  <c r="C301" i="6"/>
  <c r="AA302" i="6"/>
  <c r="Z302" i="6"/>
  <c r="C302" i="6"/>
  <c r="AA303" i="6"/>
  <c r="Z303" i="6"/>
  <c r="C303" i="6"/>
  <c r="B304" i="6"/>
  <c r="Z275" i="6"/>
  <c r="AA257" i="6"/>
  <c r="AC257" i="6"/>
  <c r="Z257" i="6"/>
  <c r="AB204" i="6"/>
  <c r="AC249" i="6"/>
  <c r="AB249" i="6"/>
  <c r="AB162" i="6"/>
  <c r="AB117" i="6"/>
  <c r="AB106" i="6"/>
  <c r="AB105" i="6"/>
  <c r="AB104" i="6"/>
  <c r="AB103" i="6"/>
  <c r="AC102" i="6"/>
  <c r="AB102" i="6"/>
  <c r="AB101" i="6"/>
  <c r="AB100" i="6"/>
  <c r="AB99" i="6"/>
  <c r="AB98" i="6"/>
  <c r="AB97" i="6"/>
  <c r="AB96" i="6"/>
  <c r="AB95" i="6"/>
  <c r="AB94" i="6"/>
  <c r="AB93" i="6"/>
  <c r="AB90" i="6"/>
  <c r="AB89" i="6"/>
  <c r="AB88" i="6"/>
  <c r="AB87" i="6"/>
  <c r="AB86" i="6"/>
  <c r="AB84" i="6"/>
  <c r="AB85" i="6"/>
  <c r="C62" i="6"/>
  <c r="C61" i="6"/>
  <c r="AC61" i="6"/>
  <c r="C60" i="6"/>
  <c r="C59" i="6"/>
  <c r="AC59" i="6"/>
  <c r="C58" i="6"/>
  <c r="C57" i="6"/>
  <c r="AC57" i="6"/>
  <c r="C56" i="6"/>
  <c r="C55" i="6"/>
  <c r="AC55" i="6"/>
  <c r="C54" i="6"/>
  <c r="C53" i="6"/>
  <c r="AC53" i="6"/>
  <c r="C52" i="6"/>
  <c r="C51" i="6"/>
  <c r="AC51" i="6"/>
  <c r="C50" i="6"/>
  <c r="C49" i="6"/>
  <c r="AC49" i="6"/>
  <c r="C48" i="6"/>
  <c r="C47" i="6"/>
  <c r="AC47" i="6"/>
  <c r="C46" i="6"/>
  <c r="C45" i="6"/>
  <c r="AC45" i="6"/>
  <c r="C44" i="6"/>
  <c r="C43" i="6"/>
  <c r="AC43" i="6"/>
  <c r="C42" i="6"/>
  <c r="C41" i="6"/>
  <c r="AC41" i="6"/>
  <c r="C40" i="6"/>
  <c r="C39" i="6"/>
  <c r="AC39" i="6"/>
  <c r="C38" i="6"/>
  <c r="C37" i="6"/>
  <c r="AC37" i="6"/>
  <c r="C36" i="6"/>
  <c r="C35" i="6"/>
  <c r="AC35" i="6"/>
  <c r="C34" i="6"/>
  <c r="C33" i="6"/>
  <c r="AC33" i="6"/>
  <c r="C32" i="6"/>
  <c r="C31" i="6"/>
  <c r="AC31" i="6"/>
  <c r="C30" i="6"/>
  <c r="C29" i="6"/>
  <c r="C28" i="6"/>
  <c r="C27" i="6"/>
  <c r="AC27" i="6"/>
  <c r="C26" i="6"/>
  <c r="C25" i="6"/>
  <c r="C24" i="6"/>
  <c r="C23" i="6"/>
  <c r="C22" i="6"/>
  <c r="C21" i="6"/>
  <c r="AC21" i="6"/>
  <c r="C20" i="6"/>
  <c r="C19" i="6"/>
  <c r="C18" i="6"/>
  <c r="C17" i="6"/>
  <c r="C16" i="6"/>
  <c r="C15" i="6"/>
  <c r="AC15" i="6"/>
  <c r="C14" i="6"/>
  <c r="C13" i="6"/>
  <c r="AC13" i="6"/>
  <c r="C12" i="6"/>
  <c r="C11" i="6"/>
  <c r="C10" i="6"/>
  <c r="C9" i="6"/>
  <c r="C8" i="6"/>
  <c r="C7" i="6"/>
  <c r="AC6" i="6"/>
  <c r="AB6" i="6"/>
  <c r="AB7" i="6"/>
  <c r="AB8" i="6"/>
  <c r="AB9" i="6"/>
  <c r="AB10" i="6"/>
  <c r="AB11" i="6"/>
  <c r="AB12" i="6"/>
  <c r="AC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C63" i="6"/>
  <c r="AB63" i="6"/>
  <c r="AB64" i="6"/>
  <c r="AB65" i="6"/>
  <c r="AB66" i="6"/>
  <c r="AB67" i="6"/>
  <c r="AB68" i="6"/>
  <c r="AB69" i="6"/>
  <c r="S1" i="8"/>
  <c r="AB70" i="6"/>
  <c r="AB71" i="6"/>
  <c r="AB72" i="6"/>
  <c r="AB73" i="6"/>
  <c r="AB75" i="6"/>
  <c r="AB76" i="6"/>
  <c r="AB77" i="6"/>
  <c r="AB78" i="6"/>
  <c r="AB79" i="6"/>
  <c r="AB80" i="6"/>
  <c r="AB81" i="6"/>
  <c r="AB82" i="6"/>
  <c r="AB83" i="6"/>
  <c r="AC228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C268" i="6"/>
  <c r="AB269" i="6"/>
  <c r="AB270" i="6"/>
  <c r="AB271" i="6"/>
  <c r="AB272" i="6"/>
  <c r="AB273" i="6"/>
  <c r="AB274" i="6"/>
  <c r="AB275" i="6"/>
  <c r="B1" i="8"/>
  <c r="AB276" i="6"/>
  <c r="AB277" i="6"/>
  <c r="AB278" i="6"/>
  <c r="AB279" i="6"/>
  <c r="AC279" i="6"/>
  <c r="AB280" i="6"/>
  <c r="AB281" i="6"/>
  <c r="AB282" i="6"/>
  <c r="AB283" i="6"/>
  <c r="AB284" i="6"/>
  <c r="AB285" i="6"/>
  <c r="AB286" i="6"/>
  <c r="AB288" i="6"/>
  <c r="AB289" i="6"/>
  <c r="AB290" i="6"/>
  <c r="AB291" i="6"/>
  <c r="AB292" i="6"/>
  <c r="AB293" i="6"/>
  <c r="AB294" i="6"/>
  <c r="AB295" i="6"/>
  <c r="AB296" i="6"/>
  <c r="AC296" i="6"/>
  <c r="AB297" i="6"/>
  <c r="AB298" i="6"/>
  <c r="AB299" i="6"/>
  <c r="AB300" i="6"/>
  <c r="AB301" i="6"/>
  <c r="AB302" i="6"/>
  <c r="AC302" i="6"/>
  <c r="A13" i="13"/>
  <c r="C1" i="13"/>
  <c r="C2" i="13"/>
  <c r="D1" i="13"/>
  <c r="D2" i="13"/>
  <c r="AB303" i="6"/>
  <c r="C1" i="8"/>
  <c r="D3" i="8"/>
  <c r="D2" i="8"/>
  <c r="B3" i="8"/>
  <c r="B2" i="8"/>
  <c r="C15" i="13"/>
  <c r="C16" i="13"/>
  <c r="C17" i="13"/>
  <c r="C18" i="13"/>
  <c r="B14" i="13"/>
  <c r="B15" i="13"/>
  <c r="B16" i="13"/>
  <c r="B17" i="13"/>
  <c r="B18" i="13"/>
  <c r="K3" i="8"/>
  <c r="L3" i="8"/>
  <c r="L2" i="8"/>
  <c r="K2" i="8"/>
  <c r="N3" i="8"/>
  <c r="N2" i="8"/>
  <c r="Q3" i="8"/>
  <c r="R3" i="8"/>
  <c r="R2" i="8"/>
  <c r="Q2" i="8"/>
  <c r="S3" i="8"/>
  <c r="T3" i="8"/>
  <c r="T2" i="8"/>
  <c r="U3" i="8"/>
  <c r="U2" i="8"/>
  <c r="V3" i="8"/>
  <c r="V2" i="8"/>
  <c r="W3" i="8"/>
  <c r="W2" i="8"/>
  <c r="X3" i="8"/>
  <c r="X2" i="8"/>
  <c r="Y3" i="8"/>
  <c r="Y2" i="8"/>
  <c r="Z3" i="8"/>
  <c r="Z2" i="8"/>
  <c r="AA3" i="8"/>
  <c r="AA2" i="8"/>
  <c r="AB3" i="8"/>
  <c r="AB2" i="8"/>
  <c r="AC3" i="8"/>
  <c r="AC2" i="8"/>
  <c r="AD3" i="8"/>
  <c r="AD2" i="8"/>
  <c r="AE3" i="8"/>
  <c r="AE2" i="8"/>
  <c r="AF3" i="8"/>
  <c r="AF2" i="8"/>
  <c r="AG3" i="8"/>
  <c r="AG2" i="8"/>
  <c r="AH3" i="8"/>
  <c r="AH2" i="8"/>
  <c r="AI3" i="8"/>
  <c r="AI2" i="8"/>
  <c r="AJ3" i="8"/>
  <c r="AJ2" i="8"/>
  <c r="AK3" i="8"/>
  <c r="AK2" i="8"/>
  <c r="AL3" i="8"/>
  <c r="AL2" i="8"/>
  <c r="AM3" i="8"/>
  <c r="AM2" i="8"/>
  <c r="AN3" i="8"/>
  <c r="AN2" i="8"/>
  <c r="AO3" i="8"/>
  <c r="AO2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R1" i="8"/>
  <c r="L1" i="8"/>
  <c r="B6" i="7"/>
  <c r="C14" i="13"/>
  <c r="K3" i="7"/>
  <c r="K2" i="7"/>
  <c r="L3" i="7"/>
  <c r="L2" i="7"/>
  <c r="M3" i="7"/>
  <c r="M2" i="7"/>
  <c r="N3" i="7"/>
  <c r="N2" i="7"/>
  <c r="O3" i="7"/>
  <c r="O2" i="7"/>
  <c r="P3" i="7"/>
  <c r="P2" i="7"/>
  <c r="Q3" i="7"/>
  <c r="Q2" i="7"/>
  <c r="R3" i="7"/>
  <c r="R2" i="7"/>
  <c r="S3" i="7"/>
  <c r="S2" i="7"/>
  <c r="T3" i="7"/>
  <c r="T2" i="7"/>
  <c r="U3" i="7"/>
  <c r="U2" i="7"/>
  <c r="V3" i="7"/>
  <c r="V2" i="7"/>
  <c r="W3" i="7"/>
  <c r="W2" i="7"/>
  <c r="X3" i="7"/>
  <c r="X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A12" i="13"/>
  <c r="X4" i="7"/>
  <c r="W4" i="7"/>
  <c r="V4" i="7"/>
  <c r="U4" i="7"/>
  <c r="T4" i="7"/>
  <c r="S4" i="7"/>
  <c r="AA3" i="7"/>
  <c r="AA2" i="7"/>
  <c r="AB3" i="7"/>
  <c r="AB2" i="7"/>
  <c r="AC3" i="7"/>
  <c r="AC2" i="7"/>
  <c r="AD3" i="7"/>
  <c r="AD2" i="7"/>
  <c r="AE3" i="7"/>
  <c r="AE2" i="7"/>
  <c r="AF3" i="7"/>
  <c r="AF2" i="7"/>
  <c r="AG3" i="7"/>
  <c r="AG2" i="7"/>
  <c r="AH3" i="7"/>
  <c r="AH2" i="7"/>
  <c r="AI3" i="7"/>
  <c r="AI2" i="7"/>
  <c r="AJ3" i="7"/>
  <c r="AJ2" i="7"/>
  <c r="AK3" i="7"/>
  <c r="AK2" i="7"/>
  <c r="AL3" i="7"/>
  <c r="AL2" i="7"/>
  <c r="AM3" i="7"/>
  <c r="AM2" i="7"/>
  <c r="AN3" i="7"/>
  <c r="AN2" i="7"/>
  <c r="AO3" i="7"/>
  <c r="AO2" i="7"/>
  <c r="AP3" i="7"/>
  <c r="AP2" i="7"/>
  <c r="AQ3" i="7"/>
  <c r="AQ2" i="7"/>
  <c r="AR3" i="7"/>
  <c r="AR2" i="7"/>
  <c r="AS3" i="7"/>
  <c r="AS2" i="7"/>
  <c r="AT3" i="7"/>
  <c r="AT2" i="7"/>
  <c r="AU3" i="7"/>
  <c r="AU2" i="7"/>
  <c r="AV3" i="7"/>
  <c r="AV2" i="7"/>
  <c r="AW3" i="7"/>
  <c r="AW2" i="7"/>
  <c r="AX3" i="7"/>
  <c r="AX2" i="7"/>
  <c r="AY3" i="7"/>
  <c r="AY2" i="7"/>
  <c r="AZ3" i="7"/>
  <c r="AZ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W3" i="7"/>
  <c r="BX3" i="7"/>
  <c r="BX2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C5" i="6"/>
  <c r="AA5" i="6"/>
  <c r="Z5" i="6"/>
  <c r="C4" i="6"/>
  <c r="AA4" i="6"/>
  <c r="AC4" i="6"/>
  <c r="Z4" i="6"/>
  <c r="C3" i="6"/>
  <c r="AA3" i="6"/>
  <c r="Z3" i="6"/>
  <c r="D7" i="1"/>
  <c r="B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141" i="15"/>
  <c r="A135" i="15"/>
  <c r="A133" i="15"/>
  <c r="A56" i="15"/>
  <c r="Y3" i="7"/>
  <c r="Z3" i="7"/>
  <c r="Z2" i="7"/>
  <c r="Y2" i="7"/>
  <c r="BZ4" i="7"/>
  <c r="BY4" i="7"/>
  <c r="Z4" i="7"/>
  <c r="Y4" i="7"/>
  <c r="BZ3" i="7"/>
  <c r="BY3" i="7"/>
  <c r="BY2" i="7"/>
  <c r="BZ2" i="7"/>
  <c r="AB5" i="6"/>
  <c r="AB4" i="6"/>
  <c r="AB3" i="6"/>
  <c r="AA2" i="6"/>
  <c r="AC2" i="6"/>
  <c r="AB2" i="6"/>
  <c r="Z2" i="6"/>
  <c r="B11" i="1"/>
  <c r="B10" i="1"/>
  <c r="B9" i="1"/>
  <c r="BV3" i="7"/>
  <c r="BV2" i="7"/>
  <c r="P3" i="8"/>
  <c r="P2" i="8"/>
  <c r="B182" i="6"/>
  <c r="Q4" i="7"/>
  <c r="D4" i="7"/>
  <c r="B5" i="6"/>
  <c r="K4" i="7"/>
  <c r="F4" i="7"/>
  <c r="BW2" i="7"/>
  <c r="B188" i="6"/>
  <c r="B179" i="6"/>
  <c r="B232" i="6"/>
  <c r="B224" i="6"/>
  <c r="B3" i="6"/>
  <c r="B10" i="6"/>
  <c r="B18" i="6"/>
  <c r="B26" i="6"/>
  <c r="B34" i="6"/>
  <c r="B42" i="6"/>
  <c r="B50" i="6"/>
  <c r="B58" i="6"/>
  <c r="B296" i="6"/>
  <c r="B288" i="6"/>
  <c r="B279" i="6"/>
  <c r="B268" i="6"/>
  <c r="B260" i="6"/>
  <c r="B7" i="6"/>
  <c r="B23" i="6"/>
  <c r="B65" i="6"/>
  <c r="B68" i="6"/>
  <c r="B70" i="6"/>
  <c r="B73" i="6"/>
  <c r="B76" i="6"/>
  <c r="B78" i="6"/>
  <c r="B117" i="6"/>
  <c r="B118" i="6"/>
  <c r="B120" i="6"/>
  <c r="B121" i="6"/>
  <c r="B14" i="6"/>
  <c r="B22" i="6"/>
  <c r="B30" i="6"/>
  <c r="B38" i="6"/>
  <c r="B46" i="6"/>
  <c r="B54" i="6"/>
  <c r="B62" i="6"/>
  <c r="B300" i="6"/>
  <c r="B292" i="6"/>
  <c r="B283" i="6"/>
  <c r="B272" i="6"/>
  <c r="B264" i="6"/>
  <c r="AC70" i="6"/>
  <c r="AC67" i="6"/>
  <c r="B12" i="6"/>
  <c r="B20" i="6"/>
  <c r="B28" i="6"/>
  <c r="B36" i="6"/>
  <c r="B44" i="6"/>
  <c r="B52" i="6"/>
  <c r="B60" i="6"/>
  <c r="B302" i="6"/>
  <c r="B294" i="6"/>
  <c r="B285" i="6"/>
  <c r="B277" i="6"/>
  <c r="B274" i="6"/>
  <c r="B266" i="6"/>
  <c r="B258" i="6"/>
  <c r="B135" i="6"/>
  <c r="B137" i="6"/>
  <c r="B148" i="6"/>
  <c r="B198" i="6"/>
  <c r="B200" i="6"/>
  <c r="B202" i="6"/>
  <c r="B8" i="6"/>
  <c r="B16" i="6"/>
  <c r="B24" i="6"/>
  <c r="B32" i="6"/>
  <c r="B40" i="6"/>
  <c r="B48" i="6"/>
  <c r="B56" i="6"/>
  <c r="B298" i="6"/>
  <c r="B290" i="6"/>
  <c r="B281" i="6"/>
  <c r="B270" i="6"/>
  <c r="B262" i="6"/>
  <c r="B217" i="6"/>
  <c r="AC135" i="6"/>
  <c r="B134" i="6"/>
  <c r="B136" i="6"/>
  <c r="B138" i="6"/>
  <c r="B147" i="6"/>
  <c r="B149" i="6"/>
  <c r="B151" i="6"/>
  <c r="B153" i="6"/>
  <c r="B158" i="6"/>
  <c r="B170" i="6"/>
  <c r="B237" i="6"/>
  <c r="B239" i="6"/>
  <c r="B241" i="6"/>
  <c r="B243" i="6"/>
  <c r="B245" i="6"/>
  <c r="B247" i="6"/>
  <c r="B249" i="6"/>
  <c r="B253" i="6"/>
  <c r="B255" i="6"/>
  <c r="B204" i="6"/>
  <c r="B133" i="6"/>
  <c r="B222" i="6"/>
  <c r="AC298" i="6"/>
  <c r="AC292" i="6"/>
  <c r="AC264" i="6"/>
  <c r="AC81" i="6"/>
  <c r="AC76" i="6"/>
  <c r="AC28" i="6"/>
  <c r="B9" i="6"/>
  <c r="B17" i="6"/>
  <c r="B25" i="6"/>
  <c r="B299" i="6"/>
  <c r="B291" i="6"/>
  <c r="B282" i="6"/>
  <c r="B271" i="6"/>
  <c r="B263" i="6"/>
  <c r="AC124" i="6"/>
  <c r="B165" i="6"/>
  <c r="B167" i="6"/>
  <c r="B140" i="6"/>
  <c r="B159" i="6"/>
  <c r="AC87" i="6"/>
  <c r="AC276" i="6"/>
  <c r="AC64" i="6"/>
  <c r="B131" i="6"/>
  <c r="AC90" i="6"/>
  <c r="AC82" i="6"/>
  <c r="AC66" i="6"/>
  <c r="B11" i="6"/>
  <c r="B19" i="6"/>
  <c r="B297" i="6"/>
  <c r="B289" i="6"/>
  <c r="B280" i="6"/>
  <c r="AC198" i="6"/>
  <c r="B236" i="6"/>
  <c r="B238" i="6"/>
  <c r="B240" i="6"/>
  <c r="B242" i="6"/>
  <c r="B244" i="6"/>
  <c r="B246" i="6"/>
  <c r="B248" i="6"/>
  <c r="B250" i="6"/>
  <c r="B252" i="6"/>
  <c r="B254" i="6"/>
  <c r="B210" i="6"/>
  <c r="AC72" i="6"/>
  <c r="AC71" i="6"/>
  <c r="AC122" i="6"/>
  <c r="AC79" i="6"/>
  <c r="AC11" i="6"/>
  <c r="B21" i="6"/>
  <c r="B29" i="6"/>
  <c r="AC96" i="6"/>
  <c r="B303" i="6"/>
  <c r="B295" i="6"/>
  <c r="B286" i="6"/>
  <c r="B278" i="6"/>
  <c r="B267" i="6"/>
  <c r="B259" i="6"/>
  <c r="AC149" i="6"/>
  <c r="B160" i="6"/>
  <c r="B162" i="6"/>
  <c r="B164" i="6"/>
  <c r="B166" i="6"/>
  <c r="B157" i="6"/>
  <c r="B197" i="6"/>
  <c r="B199" i="6"/>
  <c r="B127" i="6"/>
  <c r="AC281" i="6"/>
  <c r="B129" i="6"/>
  <c r="AC84" i="6"/>
  <c r="AC138" i="6"/>
  <c r="B132" i="6"/>
  <c r="AC294" i="6"/>
  <c r="AC270" i="6"/>
  <c r="AC89" i="6"/>
  <c r="AC290" i="6"/>
  <c r="AC277" i="6"/>
  <c r="AC266" i="6"/>
  <c r="AC88" i="6"/>
  <c r="AC94" i="6"/>
  <c r="AC120" i="6"/>
  <c r="AC93" i="6"/>
  <c r="B191" i="6"/>
  <c r="AC262" i="6"/>
  <c r="AC285" i="6"/>
  <c r="AC65" i="6"/>
  <c r="AC29" i="6"/>
  <c r="AC97" i="6"/>
  <c r="AC288" i="6"/>
  <c r="AC136" i="6"/>
  <c r="AC148" i="6"/>
  <c r="AC160" i="6"/>
  <c r="AC44" i="6"/>
  <c r="AC23" i="6"/>
  <c r="AC283" i="6"/>
  <c r="AC166" i="6"/>
  <c r="AC300" i="6"/>
  <c r="AC162" i="6"/>
  <c r="AC60" i="6"/>
  <c r="AC54" i="6"/>
  <c r="AC134" i="6"/>
  <c r="AC150" i="6"/>
  <c r="AC164" i="6"/>
  <c r="AC299" i="6"/>
  <c r="AC284" i="6"/>
  <c r="AC36" i="6"/>
  <c r="AC30" i="6"/>
  <c r="AC7" i="6"/>
  <c r="B27" i="6"/>
  <c r="AC106" i="6"/>
  <c r="AC202" i="6"/>
  <c r="AC48" i="6"/>
  <c r="AC291" i="6"/>
  <c r="AC83" i="6"/>
  <c r="AC38" i="6"/>
  <c r="AC32" i="6"/>
  <c r="AC271" i="6"/>
  <c r="AC301" i="6"/>
  <c r="AC282" i="6"/>
  <c r="AC62" i="6"/>
  <c r="AC56" i="6"/>
  <c r="AC16" i="6"/>
  <c r="B13" i="6"/>
  <c r="AC98" i="6"/>
  <c r="AC104" i="6"/>
  <c r="AC200" i="6"/>
  <c r="AC242" i="6"/>
  <c r="AC121" i="6"/>
  <c r="B130" i="6"/>
  <c r="AC293" i="6"/>
  <c r="AC263" i="6"/>
  <c r="AC52" i="6"/>
  <c r="AC46" i="6"/>
  <c r="AC40" i="6"/>
  <c r="B184" i="6"/>
  <c r="AC295" i="6"/>
  <c r="AC267" i="6"/>
  <c r="AC77" i="6"/>
  <c r="AC19" i="6"/>
  <c r="AC105" i="6"/>
  <c r="AC137" i="6"/>
  <c r="AC155" i="6"/>
  <c r="AC3" i="6"/>
  <c r="AC286" i="6"/>
  <c r="AC50" i="6"/>
  <c r="AC34" i="6"/>
  <c r="AC165" i="6"/>
  <c r="AC197" i="6"/>
  <c r="B186" i="6"/>
  <c r="B220" i="6"/>
  <c r="AC278" i="6"/>
  <c r="AC25" i="6"/>
  <c r="AC20" i="6"/>
  <c r="AC158" i="6"/>
  <c r="B126" i="6"/>
  <c r="B141" i="6"/>
  <c r="AC259" i="6"/>
  <c r="B174" i="6"/>
  <c r="AC119" i="6"/>
  <c r="B215" i="6"/>
  <c r="AC75" i="6"/>
  <c r="AC117" i="6"/>
  <c r="AC252" i="6"/>
  <c r="AC58" i="6"/>
  <c r="AC42" i="6"/>
  <c r="AC199" i="6"/>
  <c r="AC5" i="6"/>
  <c r="B125" i="6"/>
  <c r="AC168" i="6"/>
  <c r="S2" i="8"/>
  <c r="C3" i="8"/>
  <c r="C2" i="8"/>
  <c r="AC78" i="6"/>
  <c r="AC68" i="6"/>
  <c r="AC297" i="6"/>
  <c r="AC289" i="6"/>
  <c r="AC280" i="6"/>
  <c r="AC258" i="6"/>
  <c r="AC17" i="6"/>
  <c r="AC8" i="6"/>
  <c r="B15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AC85" i="6"/>
  <c r="AC101" i="6"/>
  <c r="B172" i="6"/>
  <c r="AC253" i="6"/>
  <c r="B123" i="6"/>
  <c r="B152" i="6"/>
  <c r="B163" i="6"/>
  <c r="B181" i="6"/>
  <c r="B190" i="6"/>
  <c r="B201" i="6"/>
  <c r="B235" i="6"/>
  <c r="B251" i="6"/>
  <c r="AC170" i="6"/>
  <c r="B208" i="6"/>
  <c r="AC159" i="6"/>
  <c r="AC272" i="6"/>
  <c r="AC69" i="6"/>
  <c r="B227" i="6"/>
  <c r="AC244" i="6"/>
  <c r="B187" i="6"/>
  <c r="B287" i="6"/>
  <c r="AC108" i="6"/>
  <c r="B219" i="6"/>
  <c r="B144" i="6"/>
  <c r="AC92" i="6"/>
  <c r="AC9" i="6"/>
  <c r="AC100" i="6"/>
  <c r="AC274" i="6"/>
  <c r="AC260" i="6"/>
  <c r="AC24" i="6"/>
  <c r="AC99" i="6"/>
  <c r="B213" i="6"/>
  <c r="B143" i="6"/>
  <c r="B216" i="6"/>
  <c r="AC169" i="6"/>
  <c r="AC86" i="6"/>
  <c r="AC95" i="6"/>
  <c r="AC103" i="6"/>
  <c r="AC240" i="6"/>
  <c r="AC248" i="6"/>
  <c r="AC118" i="6"/>
  <c r="AC156" i="6"/>
  <c r="AC173" i="6"/>
  <c r="F3" i="8"/>
  <c r="F2" i="8"/>
  <c r="AC127" i="6"/>
  <c r="AC157" i="6"/>
  <c r="B4" i="6"/>
  <c r="B273" i="6"/>
  <c r="B269" i="6"/>
  <c r="B265" i="6"/>
  <c r="B261" i="6"/>
  <c r="B146" i="6"/>
  <c r="B161" i="6"/>
  <c r="B203" i="6"/>
  <c r="B256" i="6"/>
  <c r="AC133" i="6"/>
  <c r="AC131" i="6"/>
  <c r="B221" i="6"/>
  <c r="B214" i="6"/>
  <c r="B209" i="6"/>
  <c r="B211" i="6"/>
  <c r="B145" i="6"/>
  <c r="AC91" i="6"/>
  <c r="AC217" i="6"/>
  <c r="B205" i="6"/>
  <c r="B142" i="6"/>
  <c r="B185" i="6"/>
  <c r="AC275" i="6"/>
  <c r="AC26" i="6"/>
  <c r="AC22" i="6"/>
  <c r="AC18" i="6"/>
  <c r="AC14" i="6"/>
  <c r="AC10" i="6"/>
  <c r="AC303" i="6"/>
  <c r="AC128" i="6"/>
  <c r="AC154" i="6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5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<sst xmlns="http://schemas.openxmlformats.org/spreadsheetml/2006/main" count="3918" uniqueCount="1174">
  <si>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</si>
  <si>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</si>
  <si>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</si>
  <si>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</si>
  <si>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</si>
  <si>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</si>
  <si>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</si>
  <si>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</si>
  <si>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</si>
  <si>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</si>
  <si>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</si>
  <si>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</si>
  <si>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</si>
  <si>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</si>
  <si>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</si>
  <si>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</si>
  <si>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</si>
  <si>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</si>
  <si>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</si>
  <si>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</si>
  <si>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</si>
  <si>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</si>
  <si>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</si>
  <si>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</si>
  <si>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</si>
  <si>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</si>
  <si>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</si>
  <si>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</si>
  <si>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</si>
  <si>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</si>
  <si>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</si>
  <si>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</si>
  <si>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</si>
  <si>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</si>
  <si>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</si>
  <si>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</si>
  <si>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</si>
  <si>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</si>
  <si>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</si>
  <si>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</si>
  <si>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</si>
  <si>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</si>
  <si>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</si>
  <si>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</si>
  <si>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</si>
  <si>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</si>
  <si>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</si>
  <si>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</si>
  <si>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</si>
  <si>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</si>
  <si>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</si>
  <si>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</si>
  <si>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</si>
  <si>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</si>
  <si>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</si>
  <si>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</si>
  <si>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</si>
  <si>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</si>
  <si>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</si>
  <si>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</si>
  <si>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</si>
  <si>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</si>
  <si>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</si>
  <si>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</si>
  <si>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</si>
  <si>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</si>
  <si>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</si>
  <si>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</si>
  <si>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</si>
  <si>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</si>
  <si>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</si>
  <si>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</si>
  <si>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</si>
  <si>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</si>
  <si>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</si>
  <si>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</si>
  <si>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</si>
  <si>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</si>
  <si>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</si>
  <si>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</si>
  <si>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</si>
  <si>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</si>
  <si>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</si>
  <si>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</si>
  <si>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</si>
  <si>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</si>
  <si>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</si>
  <si>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</si>
  <si>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</si>
  <si>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</si>
  <si>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</si>
  <si>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</si>
  <si>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</si>
  <si>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</si>
  <si>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</si>
  <si>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</si>
  <si>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</si>
  <si>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</si>
  <si>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</si>
  <si>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</si>
  <si>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</si>
  <si>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</si>
  <si>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</si>
  <si>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</si>
  <si>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</si>
  <si>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</si>
  <si>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</si>
  <si>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</si>
  <si>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</si>
  <si>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</si>
  <si>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</si>
  <si>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</si>
  <si>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</si>
  <si>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</si>
  <si>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</si>
  <si>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</si>
  <si>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</si>
  <si>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</si>
  <si>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</si>
  <si>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</si>
  <si>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</si>
  <si>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</si>
  <si>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</si>
  <si>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</si>
  <si>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</si>
  <si>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</si>
  <si>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</si>
  <si>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</si>
  <si>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</si>
  <si>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</si>
  <si>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</si>
  <si>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</si>
  <si>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</si>
  <si>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</si>
  <si>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</si>
  <si>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</si>
  <si>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</si>
  <si>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</si>
  <si>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</si>
  <si>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</si>
  <si>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</si>
  <si>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</si>
  <si>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</si>
  <si>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</si>
  <si>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</si>
  <si>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</si>
  <si>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</si>
  <si>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</si>
  <si>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</si>
  <si>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</si>
  <si>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</si>
  <si>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</si>
  <si>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</si>
  <si>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</si>
  <si>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</si>
  <si>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</si>
  <si>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</si>
  <si>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</si>
  <si>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</si>
  <si>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</si>
  <si>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</si>
  <si>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</si>
  <si>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</si>
  <si>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</si>
  <si>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</si>
  <si>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</si>
  <si>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</si>
  <si>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</si>
  <si>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</si>
  <si>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</si>
  <si>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</si>
  <si>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</si>
  <si>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</si>
  <si>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</si>
  <si>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</si>
  <si>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</si>
  <si>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</si>
  <si>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</si>
  <si>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</si>
  <si>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</si>
  <si>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</si>
  <si>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</si>
  <si>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</si>
  <si>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</si>
  <si>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</si>
  <si>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</si>
  <si>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profile</t>
  </si>
  <si>
    <t>Name</t>
  </si>
  <si>
    <t>Tiefe</t>
  </si>
  <si>
    <t>dki_</t>
  </si>
  <si>
    <t>UZ</t>
  </si>
  <si>
    <t>abmessung</t>
  </si>
  <si>
    <t>VERWALTUNGSPARAMETER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</si>
  <si>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</si>
  <si>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</si>
  <si>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</si>
  <si>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</si>
  <si>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</si>
  <si>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</si>
  <si>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</si>
  <si>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</si>
  <si>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</si>
  <si>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</si>
  <si>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</si>
  <si>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</si>
  <si>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</si>
  <si>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</si>
  <si>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</si>
  <si>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</si>
  <si>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</si>
  <si>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</si>
  <si>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</si>
  <si>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</si>
  <si>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</si>
  <si>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</si>
  <si>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</si>
  <si>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</si>
  <si>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</si>
  <si>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</si>
  <si>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</si>
  <si>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</si>
  <si>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</si>
  <si>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</si>
  <si>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</si>
  <si>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</si>
  <si>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</si>
  <si>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</si>
  <si>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</si>
  <si>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</si>
  <si>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</si>
  <si>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</si>
  <si>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</si>
  <si>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</si>
  <si>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</si>
  <si>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</si>
  <si>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</si>
  <si>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</si>
  <si>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</si>
  <si>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</si>
  <si>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</si>
  <si>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</si>
  <si>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</si>
  <si>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</si>
  <si>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</si>
  <si>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</si>
  <si>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</si>
  <si>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</si>
  <si>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</si>
  <si>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</si>
  <si>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</si>
  <si>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Sprachversion UI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</si>
  <si>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</si>
  <si>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</si>
  <si>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</si>
  <si>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</si>
  <si>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</si>
  <si>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</si>
  <si>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</si>
  <si>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</si>
  <si>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</si>
  <si>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</si>
  <si>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</si>
  <si>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</si>
  <si>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</si>
  <si>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</si>
  <si>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htspt</t>
  </si>
  <si>
    <t>Fangpunktindex</t>
  </si>
  <si>
    <t>develop</t>
  </si>
  <si>
    <t>Entwicklungsmodus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</si>
  <si>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</si>
  <si>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</si>
  <si>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</si>
  <si>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</si>
  <si>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</si>
  <si>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</si>
  <si>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</si>
  <si>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</si>
  <si>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</si>
  <si>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</si>
  <si>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MAKRO-PARAMETER</t>
  </si>
  <si>
    <t>Abmessungen</t>
  </si>
  <si>
    <t>Typ</t>
  </si>
  <si>
    <t>dk_frames</t>
  </si>
  <si>
    <t>Produktspezifikationen Zargen</t>
  </si>
  <si>
    <t>Profilbezeichnungen und Typen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</si>
  <si>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</si>
  <si>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</si>
  <si>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</si>
  <si>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</si>
  <si>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</si>
  <si>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</si>
  <si>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</si>
  <si>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</si>
  <si>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</si>
  <si>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</si>
  <si>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</si>
  <si>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</si>
  <si>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</si>
  <si>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</si>
  <si>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</si>
  <si>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</si>
  <si>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</si>
  <si>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</si>
  <si>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</si>
  <si>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</si>
  <si>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</si>
  <si>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</si>
  <si>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</si>
  <si>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</si>
  <si>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</si>
  <si>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</si>
  <si>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</si>
  <si>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</si>
  <si>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</si>
  <si>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</si>
  <si>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</si>
  <si>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</si>
  <si>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</si>
  <si>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</si>
  <si>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</si>
  <si>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</si>
  <si>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</si>
  <si>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</si>
  <si>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</si>
  <si>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</si>
  <si>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</si>
  <si>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</si>
  <si>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</si>
  <si>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</si>
  <si>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</si>
  <si>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</si>
  <si>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</si>
  <si>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</si>
  <si>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</si>
  <si>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</si>
  <si>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</si>
  <si>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</si>
  <si>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</si>
  <si>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</si>
  <si>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</si>
  <si>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</si>
  <si>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</si>
  <si>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</si>
  <si>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</si>
  <si>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</si>
  <si>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</si>
  <si>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</si>
  <si>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</si>
  <si>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</si>
  <si>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</si>
  <si>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</si>
  <si>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</si>
  <si>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</si>
  <si>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</si>
  <si>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</si>
  <si>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</si>
  <si>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</si>
  <si>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</si>
  <si>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</si>
  <si>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</si>
  <si>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</si>
  <si>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</si>
  <si>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</si>
  <si>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</si>
  <si>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</si>
  <si>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</si>
  <si>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</si>
  <si>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</si>
  <si>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</si>
  <si>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</si>
  <si>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</si>
  <si>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</si>
  <si>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</si>
  <si>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</si>
  <si>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</si>
  <si>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</si>
  <si>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</si>
  <si>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</si>
  <si>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</si>
  <si>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</si>
  <si>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</si>
  <si>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</si>
  <si>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</si>
  <si>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</si>
  <si>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</si>
  <si>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</si>
  <si>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</si>
  <si>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</si>
  <si>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</si>
  <si>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</si>
  <si>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</si>
  <si>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</si>
  <si>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</si>
  <si>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</si>
  <si>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</si>
  <si>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</si>
  <si>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</si>
  <si>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</si>
  <si>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</si>
  <si>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</si>
  <si>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</si>
  <si>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</si>
  <si>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</si>
  <si>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</si>
  <si>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</si>
  <si>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</si>
  <si>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</si>
  <si>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</si>
  <si>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</si>
  <si>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</si>
  <si>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</si>
  <si>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</si>
  <si>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</si>
  <si>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</si>
  <si>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</si>
  <si>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</si>
  <si>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</si>
  <si>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</si>
  <si>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</si>
  <si>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</si>
  <si>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</si>
  <si>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</si>
  <si>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</si>
  <si>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</si>
  <si>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</si>
  <si>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</si>
  <si>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</si>
  <si>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</si>
  <si>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</si>
  <si>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</si>
  <si>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</si>
  <si>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</si>
  <si>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</si>
  <si>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</si>
  <si>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</si>
  <si>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</si>
  <si>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</si>
  <si>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</si>
  <si>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</si>
  <si>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</si>
  <si>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</si>
  <si>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</si>
  <si>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</si>
  <si>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</si>
  <si>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</si>
  <si>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</si>
  <si>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</si>
  <si>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</si>
  <si>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</si>
  <si>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</si>
  <si>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</si>
  <si>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</si>
  <si>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</si>
  <si>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</si>
  <si>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</si>
  <si>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</si>
  <si>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</si>
  <si>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</si>
  <si>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</si>
  <si>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</si>
  <si>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</si>
  <si>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</si>
  <si>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</si>
  <si>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Durchgangshöhe nutzbar</t>
  </si>
  <si>
    <t>Oberlicht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</si>
  <si>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</si>
  <si>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</si>
  <si>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</si>
  <si>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</si>
  <si>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</si>
  <si>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</si>
  <si>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</si>
  <si>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</si>
  <si>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</si>
  <si>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</si>
  <si>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</si>
  <si>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</si>
  <si>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</si>
  <si>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</si>
  <si>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</si>
  <si>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</si>
  <si>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</si>
  <si>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</si>
  <si>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</si>
  <si>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</si>
  <si>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</si>
  <si>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</si>
  <si>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</si>
  <si>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</si>
  <si>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</si>
  <si>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</si>
  <si>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</si>
  <si>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</si>
  <si>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</si>
  <si>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</si>
  <si>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</si>
  <si>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</si>
  <si>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</si>
  <si>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</si>
  <si>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</si>
  <si>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</si>
  <si>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</si>
  <si>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</si>
  <si>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</si>
  <si>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</si>
  <si>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</si>
  <si>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</si>
  <si>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</si>
  <si>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</si>
  <si>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</si>
  <si>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</si>
  <si>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ac_reveal_width</t>
  </si>
  <si>
    <t>Architekturlichte Breite</t>
  </si>
  <si>
    <t>ac_reveal_height</t>
  </si>
  <si>
    <t>Architekturlichte Höhe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</si>
  <si>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</si>
  <si>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</si>
  <si>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</si>
  <si>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</si>
  <si>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</si>
  <si>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</si>
  <si>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</si>
  <si>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</si>
  <si>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</si>
  <si>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</si>
  <si>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</si>
  <si>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</si>
  <si>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</si>
  <si>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</si>
  <si>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</si>
  <si>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</si>
  <si>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</si>
  <si>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</si>
  <si>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</si>
  <si>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</si>
  <si>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</si>
  <si>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</si>
  <si>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</si>
  <si>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</si>
  <si>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</si>
  <si>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</si>
  <si>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</si>
  <si>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</si>
  <si>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</si>
  <si>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</si>
  <si>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</si>
  <si>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</si>
  <si>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</si>
  <si>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</si>
  <si>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</si>
  <si>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</si>
  <si>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</si>
  <si>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</si>
  <si>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</si>
  <si>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</si>
  <si>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</si>
  <si>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</si>
  <si>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</si>
  <si>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</si>
  <si>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</si>
  <si>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</si>
  <si>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</si>
  <si>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</si>
  <si>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</si>
  <si>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</si>
  <si>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</si>
  <si>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</si>
  <si>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</si>
  <si>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</si>
  <si>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</si>
  <si>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</si>
  <si>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</si>
  <si>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</si>
  <si>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</si>
  <si>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</si>
  <si>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</si>
  <si>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</si>
  <si>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</si>
  <si>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</si>
  <si>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</si>
  <si>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</si>
  <si>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</si>
  <si>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</si>
  <si>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gs_frame_width_left</t>
  </si>
  <si>
    <t>gs_frame_width_right_2</t>
  </si>
  <si>
    <t>gs_frame_width_left_2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</si>
  <si>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</si>
  <si>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</si>
  <si>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</si>
  <si>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</si>
  <si>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</si>
  <si>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</si>
  <si>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</si>
  <si>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</si>
  <si>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</si>
  <si>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</si>
  <si>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</si>
  <si>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</si>
  <si>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</si>
  <si>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</si>
  <si>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</si>
  <si>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</si>
  <si>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</si>
  <si>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</si>
  <si>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</si>
  <si>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</si>
  <si>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</si>
  <si>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</si>
  <si>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</si>
  <si>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</si>
  <si>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</si>
  <si>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</si>
  <si>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</si>
  <si>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</si>
  <si>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</si>
  <si>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</si>
  <si>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</si>
  <si>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</si>
  <si>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</si>
  <si>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</si>
  <si>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</si>
  <si>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</si>
  <si>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</si>
  <si>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</si>
  <si>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</si>
  <si>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</si>
  <si>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</si>
  <si>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</si>
  <si>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</si>
  <si>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</si>
  <si>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</si>
  <si>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</si>
  <si>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</si>
  <si>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</si>
  <si>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</si>
  <si>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</si>
  <si>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</si>
  <si>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Beschichtet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</si>
  <si>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</si>
  <si>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</si>
  <si>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</si>
  <si>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</si>
  <si>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</si>
  <si>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</si>
  <si>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</si>
  <si>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</si>
  <si>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</si>
  <si>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</si>
  <si>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</si>
  <si>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</si>
  <si>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</si>
  <si>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</si>
  <si>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glazingWidthRight</t>
  </si>
  <si>
    <t>glazingHeight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</si>
  <si>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</si>
  <si>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</si>
  <si>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</si>
  <si>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</si>
  <si>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</si>
  <si>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</si>
  <si>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</si>
  <si>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</si>
  <si>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</si>
  <si>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</si>
  <si>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</si>
  <si>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</si>
  <si>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</si>
  <si>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</si>
  <si>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</si>
  <si>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</si>
  <si>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</si>
  <si>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</si>
  <si>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</si>
  <si>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</si>
  <si>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</si>
  <si>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</si>
  <si>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</si>
  <si>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</si>
  <si>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</si>
  <si>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</si>
  <si>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</si>
  <si>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</si>
  <si>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</si>
  <si>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</si>
  <si>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</si>
  <si>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</si>
  <si>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</si>
  <si>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</si>
  <si>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</si>
  <si>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</si>
  <si>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</si>
  <si>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</si>
  <si>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</si>
  <si>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</si>
  <si>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</si>
  <si>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</si>
  <si>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</si>
  <si>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</si>
  <si>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</si>
  <si>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</si>
  <si>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</si>
  <si>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</si>
  <si>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</si>
  <si>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</si>
  <si>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</si>
  <si>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</si>
  <si>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</si>
  <si>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</si>
  <si>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</si>
  <si>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</si>
  <si>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</si>
  <si>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</si>
  <si>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</si>
  <si>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</si>
  <si>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</si>
  <si>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</si>
  <si>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</si>
  <si>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</si>
  <si>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</si>
  <si>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</si>
  <si>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</si>
  <si>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</si>
  <si>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</si>
  <si>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</si>
  <si>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</si>
  <si>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</si>
  <si>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</si>
  <si>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</si>
  <si>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</si>
  <si>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</si>
  <si>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</si>
  <si>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dk_frametype</t>
  </si>
  <si>
    <t>Selected frame category</t>
  </si>
  <si>
    <t>EZ</t>
  </si>
  <si>
    <t>BZ</t>
  </si>
  <si>
    <t>RR</t>
  </si>
  <si>
    <t>[indexname]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</si>
  <si>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</si>
  <si>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</si>
  <si>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</si>
  <si>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</si>
  <si>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</si>
  <si>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</si>
  <si>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</si>
  <si>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</si>
  <si>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dka_plate_mat</t>
  </si>
  <si>
    <t>Aus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</si>
  <si>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</si>
  <si>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</si>
  <si>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</si>
  <si>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</si>
  <si>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</si>
  <si>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</si>
  <si>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</si>
  <si>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</si>
  <si>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</si>
  <si>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</si>
  <si>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</si>
  <si>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</si>
  <si>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</si>
  <si>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</si>
  <si>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</si>
  <si>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Werkplanung</t>
  </si>
  <si>
    <t>exakt (400)</t>
  </si>
  <si>
    <t>wie Türöffnung</t>
  </si>
  <si>
    <t>global definiert (MVO)</t>
  </si>
  <si>
    <t>abgestimmt (500)</t>
  </si>
  <si>
    <t>nach Maßstab</t>
  </si>
  <si>
    <t>einheitlich</t>
  </si>
  <si>
    <t>dki_Falz1</t>
  </si>
  <si>
    <t>dki_Falz2</t>
  </si>
  <si>
    <t>gs_leaf_thk</t>
  </si>
  <si>
    <t>Zargentiefe</t>
  </si>
  <si>
    <t>Typ Einzug Blockzarge</t>
  </si>
  <si>
    <t>Einzug Blockzarge BS</t>
  </si>
  <si>
    <t>bz_tiefe</t>
  </si>
  <si>
    <t>bz_einzug</t>
  </si>
  <si>
    <t>bz_typ_einzug</t>
  </si>
  <si>
    <t>sidelightWidthLeft</t>
  </si>
  <si>
    <t>sideLightWidthRight</t>
  </si>
  <si>
    <t>Breite Seitefeld rechts</t>
  </si>
  <si>
    <t>Volle Breite Rohbau bis Türöffnung</t>
  </si>
  <si>
    <t>Volle Breite Rohbau bis Türöffnung; Automat. Restwert</t>
  </si>
  <si>
    <t>glass_thk</t>
  </si>
  <si>
    <t>wall_shell_thk_1</t>
  </si>
  <si>
    <t>wall_shell_thk_2</t>
  </si>
  <si>
    <t>Wandschale Aufbau BS</t>
  </si>
  <si>
    <t>Wandschale Aufbau BGS</t>
  </si>
  <si>
    <t>optionaler Wandaufbau Stärke Bandseite</t>
  </si>
  <si>
    <t>optionaler Wandaufbau Stärke Bandgegenseite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</si>
  <si>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</si>
  <si>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</si>
  <si>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</si>
  <si>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</si>
  <si>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</si>
  <si>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</si>
  <si>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</si>
  <si>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</si>
  <si>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</si>
  <si>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</si>
  <si>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</si>
  <si>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</si>
  <si>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</si>
  <si>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</si>
  <si>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</si>
  <si>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</si>
  <si>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</si>
  <si>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</si>
  <si>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</si>
  <si>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</si>
  <si>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</si>
  <si>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</si>
  <si>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</si>
  <si>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</si>
  <si>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</si>
  <si>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</si>
  <si>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</si>
  <si>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</si>
  <si>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</si>
  <si>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</si>
  <si>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</si>
  <si>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</si>
  <si>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</si>
  <si>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</si>
  <si>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</si>
  <si>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</si>
  <si>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</si>
  <si>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</si>
  <si>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</si>
  <si>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dk_frame_indention1</t>
  </si>
  <si>
    <t>Einzug Bezugsebene Bandseite</t>
  </si>
  <si>
    <t>dk_frame_indention2</t>
  </si>
  <si>
    <t>Einzug Bezugsebene Bandgegenseite</t>
  </si>
  <si>
    <t>bs_sidelight_filling_thk1</t>
  </si>
  <si>
    <t>Dicke Seitenfeldfüllung 1</t>
  </si>
  <si>
    <t>bs_sidelight_filling_thk2</t>
  </si>
  <si>
    <t>Dicke Seitenfeldfüllung 2</t>
  </si>
  <si>
    <t>bs_fanlight_filling_thk</t>
  </si>
  <si>
    <t>Dicke Oberlichtfüllung</t>
  </si>
  <si>
    <t>Name Hersteller</t>
  </si>
  <si>
    <t>Modell- / Typenbezeichnung</t>
  </si>
  <si>
    <t>individuell</t>
  </si>
  <si>
    <t>bs_frame_manufacturer</t>
  </si>
  <si>
    <t>bs_frame_model</t>
  </si>
  <si>
    <t>bs_frame_material</t>
  </si>
  <si>
    <t>Stahl</t>
  </si>
  <si>
    <t>Holz</t>
  </si>
  <si>
    <t>Aluminium</t>
  </si>
  <si>
    <t>weiß</t>
  </si>
  <si>
    <t>einfach</t>
  </si>
  <si>
    <t>zweifach</t>
  </si>
  <si>
    <t>dreifach</t>
  </si>
  <si>
    <t>Beschichtung</t>
  </si>
  <si>
    <t>Funier</t>
  </si>
  <si>
    <t>Eloxiert</t>
  </si>
  <si>
    <t>Natur</t>
  </si>
  <si>
    <t>AL</t>
  </si>
  <si>
    <t>ST</t>
  </si>
  <si>
    <t>gs_door_panel</t>
  </si>
  <si>
    <t>Türblatt</t>
  </si>
  <si>
    <t>dk_panel_folding_ancor</t>
  </si>
  <si>
    <t>Ausschnittfelder</t>
  </si>
  <si>
    <t>Türblatt Stärke</t>
  </si>
  <si>
    <t>bs_leaf_oversize</t>
  </si>
  <si>
    <t>Spiegelbreite des Falzes</t>
  </si>
  <si>
    <t>bs_leaf_overhang</t>
  </si>
  <si>
    <t>Überstand Türblatt zu Zarge</t>
  </si>
  <si>
    <t>bs_frame_surface_BS</t>
  </si>
  <si>
    <t>bs_frame_surface_BGS</t>
  </si>
  <si>
    <t>bs_frame_colour_BS</t>
  </si>
  <si>
    <t>bs_frame_colour_BGS</t>
  </si>
  <si>
    <t>ohne</t>
  </si>
  <si>
    <t xml:space="preserve">Anzahl Falzdichtung Zarge 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</si>
  <si>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</si>
  <si>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</si>
  <si>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</si>
  <si>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</si>
  <si>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</si>
  <si>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</si>
  <si>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</si>
  <si>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</si>
  <si>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Glasstärke Seitenteil 1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</si>
  <si>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</si>
  <si>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</si>
  <si>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</si>
  <si>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</si>
  <si>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</si>
  <si>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</si>
  <si>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</si>
  <si>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</si>
  <si>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</si>
  <si>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</si>
  <si>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Rahmenstärke Eckzarge</t>
  </si>
  <si>
    <t>bs_inner_frame</t>
  </si>
  <si>
    <t>mit Oberblende</t>
  </si>
  <si>
    <t>Seiten mit Profil um Türblatt</t>
  </si>
  <si>
    <t>dk_frame_gasket_thk</t>
  </si>
  <si>
    <t>Dicke Dichtung an Zarge</t>
  </si>
  <si>
    <t>dka_opline2D</t>
  </si>
  <si>
    <t>dka_oplineSA</t>
  </si>
  <si>
    <t>dka_opline3D</t>
  </si>
  <si>
    <t>dka_panel2fill1_penF</t>
  </si>
  <si>
    <t>dka_panel2fill1_penB</t>
  </si>
  <si>
    <t>dka_panel2fill1_fill</t>
  </si>
  <si>
    <t>dka_topview_penC2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</si>
  <si>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</si>
  <si>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</si>
  <si>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</si>
  <si>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</si>
  <si>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</si>
  <si>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</si>
  <si>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</si>
  <si>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</si>
  <si>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</si>
  <si>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</si>
  <si>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</si>
  <si>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</si>
  <si>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</si>
  <si>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</si>
  <si>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</si>
  <si>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>dreiseitig</t>
  </si>
  <si>
    <t>allseitig</t>
  </si>
  <si>
    <t>dk_matSchwarz</t>
  </si>
  <si>
    <t>Schwarzes Material</t>
  </si>
  <si>
    <t>FB</t>
  </si>
  <si>
    <t>SR</t>
  </si>
  <si>
    <t>bs_FrameRebate_width</t>
  </si>
  <si>
    <t>Zargenfalzmaß Breite</t>
  </si>
  <si>
    <t>bs_FrameRebate_height</t>
  </si>
  <si>
    <t>Zargenfalzmaß Höhe</t>
  </si>
  <si>
    <t>Rahmenbreite rechts</t>
  </si>
  <si>
    <t>Rahmenbreite links</t>
  </si>
  <si>
    <t>Mittlerer Rahmen rechts</t>
  </si>
  <si>
    <t>Mittlerer Rahmen links</t>
  </si>
  <si>
    <t>Verglasung rechts Breite</t>
  </si>
  <si>
    <t>Verglasung links Breite</t>
  </si>
  <si>
    <t>glazingWidthLeft</t>
  </si>
  <si>
    <t>glazingHeight2</t>
  </si>
  <si>
    <t>Verglasung Höhe links</t>
  </si>
  <si>
    <t>Verglasung Höhe rechts</t>
  </si>
  <si>
    <t>dk_sidelight_filling</t>
  </si>
  <si>
    <t>Füllungsart</t>
  </si>
  <si>
    <t>G1</t>
  </si>
  <si>
    <t>dk_frame_thk_EZ</t>
  </si>
  <si>
    <t>links</t>
  </si>
  <si>
    <t>rechts</t>
  </si>
  <si>
    <t>beidseitig</t>
  </si>
  <si>
    <t>-</t>
  </si>
  <si>
    <t>L</t>
  </si>
  <si>
    <t>LR</t>
  </si>
  <si>
    <t>[gs_frame_type]</t>
  </si>
  <si>
    <t>G2</t>
  </si>
  <si>
    <t>G3</t>
  </si>
  <si>
    <t>PL</t>
  </si>
  <si>
    <t>[bs_inner_frame]</t>
  </si>
  <si>
    <t>auf Wandstärke</t>
  </si>
  <si>
    <t>festes Maß</t>
  </si>
  <si>
    <t>dka_hinge_mat</t>
  </si>
  <si>
    <t>dka_fan_penF</t>
  </si>
  <si>
    <t>dka_fan_penB</t>
  </si>
  <si>
    <t>dka_fan_fill</t>
  </si>
  <si>
    <t>offsetWallSurfaceBS</t>
  </si>
  <si>
    <t>Versatz zu Wandoberfläche</t>
  </si>
  <si>
    <t>dka_gap_filling_penF</t>
  </si>
  <si>
    <t>dka_gap_filling_penB</t>
  </si>
  <si>
    <t>dka_gap_filling_fill</t>
  </si>
  <si>
    <t>dka_penInvisible</t>
  </si>
  <si>
    <t>dk_linetype</t>
  </si>
  <si>
    <t>dka_invisible</t>
  </si>
  <si>
    <t>dk_linetype_settings</t>
  </si>
  <si>
    <t>Linientypen</t>
  </si>
  <si>
    <t>Array für Linientypen</t>
  </si>
  <si>
    <t>KU</t>
  </si>
  <si>
    <t>Kunststoff</t>
  </si>
  <si>
    <t>AN</t>
  </si>
  <si>
    <t>BE</t>
  </si>
  <si>
    <t>FU</t>
  </si>
  <si>
    <t>EL</t>
  </si>
  <si>
    <t>NA</t>
  </si>
  <si>
    <t>XX</t>
  </si>
  <si>
    <t>HO</t>
  </si>
  <si>
    <t>bs_panel_material</t>
  </si>
  <si>
    <t>Türblatt Material</t>
  </si>
  <si>
    <t>H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</si>
  <si>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</si>
  <si>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bs_panel_type</t>
  </si>
  <si>
    <t>VB</t>
  </si>
  <si>
    <t>Türblatt Typ</t>
  </si>
  <si>
    <t>Typenbezeichnung des Türblattes</t>
  </si>
  <si>
    <t>dka_closer_penSA</t>
  </si>
  <si>
    <t>dka_closer_pen3D</t>
  </si>
  <si>
    <t>dka_grip_penC2</t>
  </si>
  <si>
    <t>dka_grip_penC3</t>
  </si>
  <si>
    <t>dka_grip_penF</t>
  </si>
  <si>
    <t>dka_grip_penB</t>
  </si>
  <si>
    <t>dka_grip_fill</t>
  </si>
  <si>
    <t>dka_panel_bandings_mat</t>
  </si>
  <si>
    <t>dka_panel2_bandings_mat</t>
  </si>
  <si>
    <t>dka_closer_mat</t>
  </si>
  <si>
    <t>dka_automation_mat</t>
  </si>
  <si>
    <t>dka_grip_mat_BS1</t>
  </si>
  <si>
    <t>dka_grip_mat_BS2</t>
  </si>
  <si>
    <t>dka_grip_mat_BGS1</t>
  </si>
  <si>
    <t>dka_grip_mat_BGS2</t>
  </si>
  <si>
    <t>bs_internal_rim_width</t>
  </si>
  <si>
    <t>Maulweite / effektive Wandstärke</t>
  </si>
  <si>
    <t>ac_OpeningSide2</t>
  </si>
  <si>
    <t>Ausrichtung SF in Wandebene</t>
  </si>
  <si>
    <t>used in script</t>
  </si>
  <si>
    <t>dk_tolerance</t>
  </si>
  <si>
    <t>Bautoleranzangabe - Bezug</t>
  </si>
  <si>
    <t>Breite auf Zargenfalz gemessen</t>
  </si>
  <si>
    <t>Höhe auf Zargenfalz gemessen</t>
  </si>
  <si>
    <t>bs_OuterFrame_width</t>
  </si>
  <si>
    <t>Zargenaußenmaß Breite</t>
  </si>
  <si>
    <t>bs_OuterFrame_width2</t>
  </si>
  <si>
    <t>Zargenaußenmaß BGS Breite</t>
  </si>
  <si>
    <t>bs_OuterFrame_height</t>
  </si>
  <si>
    <t>Zargenaußenmaß Höhe</t>
  </si>
  <si>
    <t>bs_OuterFrame_height2</t>
  </si>
  <si>
    <t>Zargenaußenmaß BGS Höhe</t>
  </si>
  <si>
    <t>dk_UCrelation</t>
  </si>
  <si>
    <t>Bezug dees lichten Durchgangs</t>
  </si>
  <si>
    <t>dk_UCdistanceRight</t>
  </si>
  <si>
    <t>Einschränkung an Schloss-/Standflügelseite</t>
  </si>
  <si>
    <t>dk_FrameRebate_nominal</t>
  </si>
  <si>
    <t>Türfalzmaß als Nominalmaß einstellen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</si>
  <si>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</si>
  <si>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</si>
  <si>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</si>
  <si>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</si>
  <si>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</si>
  <si>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</si>
  <si>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</si>
  <si>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</si>
  <si>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</si>
  <si>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</si>
  <si>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</si>
  <si>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context</t>
  </si>
  <si>
    <t>Steel</t>
  </si>
  <si>
    <t>Wood</t>
  </si>
  <si>
    <t>Plastic</t>
  </si>
  <si>
    <t>Englisch</t>
  </si>
  <si>
    <t>uiTXT</t>
  </si>
  <si>
    <t>ZARGE - Einstellungen</t>
  </si>
  <si>
    <t>FRAME - settings</t>
  </si>
  <si>
    <t xml:space="preserve"> ... divisions for sidelights + fanlight</t>
  </si>
  <si>
    <t xml:space="preserve"> ... horizontal dimensions</t>
  </si>
  <si>
    <t xml:space="preserve"> ... vertical dimensions</t>
  </si>
  <si>
    <t xml:space="preserve"> ... material + hatches + pens</t>
  </si>
  <si>
    <t xml:space="preserve"> ... Aufteilung der Seitenfelder / Oberlicht</t>
  </si>
  <si>
    <t xml:space="preserve"> ... Horizontale Abmessungen</t>
  </si>
  <si>
    <t xml:space="preserve"> ... Vertikale Abmessungen</t>
  </si>
  <si>
    <t xml:space="preserve"> ... Material + Schraffuren + Stifte</t>
  </si>
  <si>
    <t>babel</t>
  </si>
  <si>
    <t>Produkt:</t>
  </si>
  <si>
    <t>Konstruktionsart:</t>
  </si>
  <si>
    <t>Hersteller:</t>
  </si>
  <si>
    <t>Konturen 2D / 3D:</t>
  </si>
  <si>
    <t>Konturen 2D / Schnitt:</t>
  </si>
  <si>
    <t>Oberfläche BS / BGS:</t>
  </si>
  <si>
    <t>Farbe BS / BGS:</t>
  </si>
  <si>
    <t>Zarge:</t>
  </si>
  <si>
    <t>Querschnitt:</t>
  </si>
  <si>
    <t>Ansichtslinien / 3D:</t>
  </si>
  <si>
    <t>Füllung:</t>
  </si>
  <si>
    <t>BANDGEGENSEITE</t>
  </si>
  <si>
    <t>Teilung Oberlicht:</t>
  </si>
  <si>
    <t>Zargenaußenmaß:</t>
  </si>
  <si>
    <t>Einzug von Bandseite:</t>
  </si>
  <si>
    <t>Maulweite:</t>
  </si>
  <si>
    <t>Relevante Wandstärke:</t>
  </si>
  <si>
    <t>Schnitt durch Türblatt</t>
  </si>
  <si>
    <t>Schnitt durch Seitenfeld</t>
  </si>
  <si>
    <t>Zierfalz BGS\nTiefe :</t>
  </si>
  <si>
    <t>Füllungstyp Felder</t>
  </si>
  <si>
    <t>Oberlicht BS:</t>
  </si>
  <si>
    <t>Oberlicht BGS:</t>
  </si>
  <si>
    <t>Seitenfeld links BS:</t>
  </si>
  <si>
    <t>Seitenfeld links BGS:</t>
  </si>
  <si>
    <t>Seitenfeld rechts BS:</t>
  </si>
  <si>
    <t>Seitenfeld rechts BGS:</t>
  </si>
  <si>
    <t>VERTIKALSCHNITTE - BLOCKZARGE</t>
  </si>
  <si>
    <t>VERTIKALSCHNITTE - ECKZARGE</t>
  </si>
  <si>
    <t>VERTIKALSCHNITTE - ROHRRAHMENZARGE</t>
  </si>
  <si>
    <t>VERTIKALSCHNITTE - UMFASSUNGSZARGE</t>
  </si>
  <si>
    <t>HORIZONTALSCHNITT - BLOCKZARGE</t>
  </si>
  <si>
    <t>HORIZONTALSCHNITT - ECKZARGE</t>
  </si>
  <si>
    <t>HORIZONTALSCHNITT\nROHRRAHMENZARGE</t>
  </si>
  <si>
    <t>HORIZONTALSCHNITT\nUMFASSUNGSZARGE</t>
  </si>
  <si>
    <t>Zarge BGS:</t>
  </si>
  <si>
    <t>Zarge BS:</t>
  </si>
  <si>
    <t>(*) BS = Bandseite, \nBGS = Bandgegenseite</t>
  </si>
  <si>
    <t>(*) BS = Bandseite, BGS = Bandgegenseite</t>
  </si>
  <si>
    <t>* RAHMEN- AUSSENMASS</t>
  </si>
  <si>
    <t>ABMESSUNGEN FALZ</t>
  </si>
  <si>
    <t>bubble</t>
  </si>
  <si>
    <t>Name Zargenhersteller</t>
  </si>
  <si>
    <t>Zarge Oberfläche Bandseite</t>
  </si>
  <si>
    <t>Zarge Oberfläche Bandgegenseite</t>
  </si>
  <si>
    <t>Farbe Bandseite</t>
  </si>
  <si>
    <t>Farbe Bandgegenseite</t>
  </si>
  <si>
    <t>Konturstift 3D</t>
  </si>
  <si>
    <t>Konturstift Grundriss</t>
  </si>
  <si>
    <t>Modell- / Typenbezeichnung Zarge</t>
  </si>
  <si>
    <t>Oberflächenmaterial</t>
  </si>
  <si>
    <t>Schraffurstift Hintergrund</t>
  </si>
  <si>
    <t>Schraffurstift Vordergrund</t>
  </si>
  <si>
    <t>Schraffurtyp</t>
  </si>
  <si>
    <t>Lichte Durchgangsbreite</t>
  </si>
  <si>
    <t>Lichte Durchgangshöhe</t>
  </si>
  <si>
    <t>Oberlicht / Kämpfer / Riegel</t>
  </si>
  <si>
    <t>Rahmenbreite</t>
  </si>
  <si>
    <t>Falzbreite (Gesamt)</t>
  </si>
  <si>
    <t>Falztiefe (Gesamt)</t>
  </si>
  <si>
    <t>Teilung über Tür</t>
  </si>
  <si>
    <t>Breite Schattenfuge</t>
  </si>
  <si>
    <t>Bekleidungsdicke / Tiefe Sickenkante</t>
  </si>
  <si>
    <t>Bezug Rahmenstärke</t>
  </si>
  <si>
    <t>Untersch. Rahmenstärken</t>
  </si>
  <si>
    <t>Untersch. Rahmenbreiten</t>
  </si>
  <si>
    <t>Stärke Füllung Seitenteil links</t>
  </si>
  <si>
    <t>Stärke Füllung Seitenteil rechts</t>
  </si>
  <si>
    <t>Unterschiedliche Rahmenbreiten</t>
  </si>
  <si>
    <t>Rahmenhöhe</t>
  </si>
  <si>
    <t>Rahmenstärke</t>
  </si>
  <si>
    <t>Einzug von der Bandseite</t>
  </si>
  <si>
    <t>1. Falzbreite</t>
  </si>
  <si>
    <t>1. Falztiefe</t>
  </si>
  <si>
    <t>2. Falzbreite</t>
  </si>
  <si>
    <t>2. Falztiefe</t>
  </si>
  <si>
    <t>Tiefe Zierfalz BGS (0 = ohne)</t>
  </si>
  <si>
    <t>Spiegelbreite BS</t>
  </si>
  <si>
    <t>Spiegelbreite BGS</t>
  </si>
  <si>
    <t>Spiegelbreite oben</t>
  </si>
  <si>
    <t>Spiegelbreite oben BS</t>
  </si>
  <si>
    <t>Spiegelbreite oben BGS</t>
  </si>
  <si>
    <t>Stärke Füllung Oberlicht</t>
  </si>
  <si>
    <t>Product:</t>
  </si>
  <si>
    <t>Manufacturer:</t>
  </si>
  <si>
    <t>Contours 2D / 3D:</t>
  </si>
  <si>
    <t>Contours 2D / Schnitt:</t>
  </si>
  <si>
    <t>Surface BS / BGS:</t>
  </si>
  <si>
    <t>Colour BS / BGS:</t>
  </si>
  <si>
    <t>Frame:</t>
  </si>
  <si>
    <t>3. Falzbreite</t>
  </si>
  <si>
    <t>3. Falztiefe</t>
  </si>
  <si>
    <t>Frame manufacturer</t>
  </si>
  <si>
    <t>Frame material</t>
  </si>
  <si>
    <t>User Interface - PageNames</t>
  </si>
  <si>
    <t>Breite Pfosten links</t>
  </si>
  <si>
    <t>Breite Pfosten rechts</t>
  </si>
  <si>
    <t>Rahmenstärke des Pfostens</t>
  </si>
  <si>
    <t>Tiefe Blockzarge</t>
  </si>
  <si>
    <t>Wandstärke ohne Wandschalen/Bekleidungen</t>
  </si>
  <si>
    <t>Rahmenbreite alle Rahmen</t>
  </si>
  <si>
    <t>Breite oberer Rahmen</t>
  </si>
  <si>
    <t>Rahmenbreite Kämpfer</t>
  </si>
  <si>
    <t>Rahmenbreite Sockelprofil</t>
  </si>
  <si>
    <t>Rahmenstärke Sockelprofil</t>
  </si>
  <si>
    <t>Oberlicht/Oberblende</t>
  </si>
  <si>
    <t>Pfostenstärke links</t>
  </si>
  <si>
    <t>Pfostenstärke rechts</t>
  </si>
  <si>
    <t>Einzug Blockzarge Bandseite</t>
  </si>
  <si>
    <t>Zargen-/Rahmenstärke</t>
  </si>
  <si>
    <t>Frame width</t>
  </si>
  <si>
    <t>Frame height</t>
  </si>
  <si>
    <t>Frame thickness</t>
  </si>
  <si>
    <t>bim-all-doors.frame</t>
  </si>
  <si>
    <t>prepare for open source</t>
  </si>
  <si>
    <t>1.90</t>
  </si>
  <si>
    <t>D:\Daten (sync)\github\bim-all-doors\Source\Module\02 BAD frame\source.Generic_frame_macro</t>
  </si>
  <si>
    <t>&gt;&lt;</t>
  </si>
  <si>
    <t>D:\Daten (sync)\github\bim-all-doors\Source\Module\02 BAD frame\source.Generic_frame_macro\list of multilingual text.xlsx_x000D_
D:\Daten (sync)\github\bim-all-doors\Source\Module\02 BAD frame\source.Generic_frame_macro\list of multilingual tooltip.xlsx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</si>
</sst>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2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b/>
      <sz val="11"/>
      <color theme="0" tint="-0.34998626667073579"/>
      <name val="Arial"/>
      <family val="2"/>
    </font>
    <font>
      <sz val="11"/>
      <name val="Courier New"/>
      <family val="3"/>
    </font>
    <font>
      <b/>
      <sz val="11"/>
      <color rgb="FF00B050"/>
      <name val="Arial"/>
      <family val="2"/>
    </font>
    <font>
      <b/>
      <sz val="11"/>
      <color rgb="FF0070C0"/>
      <name val="Arial"/>
      <family val="2"/>
    </font>
    <font>
      <sz val="11"/>
      <color theme="4"/>
      <name val="Courier New"/>
      <family val="3"/>
    </font>
    <font>
      <sz val="11"/>
      <color theme="3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39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40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41" fillId="7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3" fillId="0" borderId="0" xfId="0" applyFont="1" applyFill="1" applyAlignment="1">
      <alignment horizont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5" fillId="0" borderId="0" xfId="0" applyFont="1" applyFill="1"/>
    <xf numFmtId="0" fontId="45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3" fillId="0" borderId="0" xfId="0" applyFont="1" applyFill="1"/>
    <xf numFmtId="0" fontId="18" fillId="0" borderId="0" xfId="0" applyFont="1" applyFill="1"/>
    <xf numFmtId="0" fontId="45" fillId="0" borderId="0" xfId="0" applyFont="1" applyFill="1" applyAlignment="1"/>
    <xf numFmtId="0" fontId="43" fillId="0" borderId="0" xfId="0" applyFont="1" applyFill="1" applyAlignment="1"/>
    <xf numFmtId="0" fontId="46" fillId="0" borderId="0" xfId="0" applyFont="1" applyFill="1"/>
    <xf numFmtId="0" fontId="46" fillId="0" borderId="0" xfId="0" applyFont="1" applyFill="1" applyAlignment="1">
      <alignment horizontal="center"/>
    </xf>
    <xf numFmtId="0" fontId="43" fillId="0" borderId="0" xfId="0" applyFont="1" applyAlignment="1">
      <alignment horizontal="center" vertical="center"/>
    </xf>
    <xf numFmtId="0" fontId="47" fillId="0" borderId="0" xfId="0" applyFont="1" applyFill="1"/>
    <xf numFmtId="0" fontId="47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0" fontId="38" fillId="0" borderId="0" xfId="0" applyFont="1" applyFill="1" applyAlignment="1">
      <alignment horizontal="center"/>
    </xf>
    <xf numFmtId="0" fontId="43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2" fillId="0" borderId="0" xfId="0" applyFont="1" applyFill="1" applyAlignment="1">
      <alignment vertic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52" fillId="0" borderId="0" xfId="0" applyFont="1" applyFill="1" applyAlignment="1">
      <alignment horizontal="center"/>
    </xf>
    <xf numFmtId="0" fontId="50" fillId="0" borderId="0" xfId="0" applyFont="1" applyAlignment="1">
      <alignment horizontal="center" vertical="center"/>
    </xf>
    <xf numFmtId="0" fontId="43" fillId="0" borderId="0" xfId="0" applyFont="1"/>
    <xf numFmtId="0" fontId="46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Fill="1" applyAlignment="1">
      <alignment horizontal="center"/>
    </xf>
    <xf numFmtId="0" fontId="53" fillId="0" borderId="0" xfId="0" applyFont="1" applyFill="1"/>
    <xf numFmtId="0" fontId="42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18" fillId="0" borderId="0" xfId="0" applyFont="1" applyFill="1" applyAlignment="1">
      <alignment horizontal="center"/>
    </xf>
    <xf numFmtId="0" fontId="29" fillId="0" borderId="0" xfId="0" applyFont="1" applyFill="1" applyAlignment="1">
      <alignment horizontal="center"/>
    </xf>
    <xf numFmtId="0" fontId="18" fillId="0" borderId="0" xfId="0" applyFont="1" applyAlignment="1">
      <alignment horizontal="center" vertical="center"/>
    </xf>
    <xf numFmtId="0" fontId="42" fillId="0" borderId="0" xfId="0" applyFont="1" applyFill="1"/>
    <xf numFmtId="0" fontId="27" fillId="0" borderId="0" xfId="0" applyFont="1" applyFill="1" applyAlignment="1">
      <alignment horizontal="left" vertical="center"/>
    </xf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7" fillId="2" borderId="0" xfId="0" applyFont="1" applyFill="1" applyAlignment="1">
      <alignment vertical="center" textRotation="90" wrapText="1"/>
    </xf>
    <xf numFmtId="0" fontId="57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8" fillId="0" borderId="0" xfId="0" applyFont="1" applyFill="1"/>
    <xf numFmtId="0" fontId="4" fillId="0" borderId="0" xfId="0" applyFont="1" applyFill="1" applyAlignment="1">
      <alignment vertical="center"/>
    </xf>
    <xf numFmtId="0" fontId="59" fillId="0" borderId="0" xfId="0" applyFont="1" applyFill="1"/>
    <xf numFmtId="0" fontId="13" fillId="0" borderId="0" xfId="0" applyFont="1" applyFill="1" applyAlignment="1">
      <alignment vertical="center"/>
    </xf>
    <xf numFmtId="0" fontId="56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42" fillId="8" borderId="0" xfId="0" applyFont="1" applyFill="1" applyAlignment="1">
      <alignment vertical="center"/>
    </xf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30" fillId="7" borderId="0" xfId="0" applyFont="1" applyFill="1"/>
    <xf numFmtId="0" fontId="30" fillId="7" borderId="0" xfId="0" applyFont="1" applyFill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60" fillId="0" borderId="0" xfId="0" applyFont="1"/>
    <xf numFmtId="0" fontId="61" fillId="0" borderId="0" xfId="0" applyFont="1" applyAlignment="1">
      <alignment horizontal="center"/>
    </xf>
    <xf numFmtId="0" fontId="27" fillId="0" borderId="0" xfId="0" applyFont="1" applyAlignment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2"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13</xdr:row>
          <xdr:rowOff>0</xdr:rowOff>
        </xdr:from>
        <xdr:to>
          <xdr:col>4</xdr:col>
          <xdr:colOff>7620</xdr:colOff>
          <xdr:row>14</xdr:row>
          <xdr:rowOff>0</xdr:rowOff>
        </xdr:to>
        <xdr:sp macro="" textlink="">
          <xdr:nvSpPr>
            <xdr:cNvPr id="2049" name="ExportParameterList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17</xdr:row>
          <xdr:rowOff>0</xdr:rowOff>
        </xdr:from>
        <xdr:to>
          <xdr:col>4</xdr:col>
          <xdr:colOff>7620</xdr:colOff>
          <xdr:row>18</xdr:row>
          <xdr:rowOff>0</xdr:rowOff>
        </xdr:to>
        <xdr:sp macro="" textlink="">
          <xdr:nvSpPr>
            <xdr:cNvPr id="2050" name="ExportValuesCommandsButto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18</xdr:row>
          <xdr:rowOff>7620</xdr:rowOff>
        </xdr:from>
        <xdr:to>
          <xdr:col>4</xdr:col>
          <xdr:colOff>7620</xdr:colOff>
          <xdr:row>19</xdr:row>
          <xdr:rowOff>0</xdr:rowOff>
        </xdr:to>
        <xdr:sp macro="" textlink="">
          <xdr:nvSpPr>
            <xdr:cNvPr id="2051" name="ExportValueListsForUserInterfac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14</xdr:row>
          <xdr:rowOff>7620</xdr:rowOff>
        </xdr:from>
        <xdr:to>
          <xdr:col>4</xdr:col>
          <xdr:colOff>7620</xdr:colOff>
          <xdr:row>15</xdr:row>
          <xdr:rowOff>0</xdr:rowOff>
        </xdr:to>
        <xdr:sp macro="" textlink="">
          <xdr:nvSpPr>
            <xdr:cNvPr id="2052" name="ExportArchicadPropertiesButto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19</xdr:row>
          <xdr:rowOff>0</xdr:rowOff>
        </xdr:from>
        <xdr:to>
          <xdr:col>4</xdr:col>
          <xdr:colOff>7620</xdr:colOff>
          <xdr:row>20</xdr:row>
          <xdr:rowOff>0</xdr:rowOff>
        </xdr:to>
        <xdr:sp macro="" textlink="">
          <xdr:nvSpPr>
            <xdr:cNvPr id="2053" name="ExportArrayIndicesButto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21</xdr:row>
          <xdr:rowOff>7620</xdr:rowOff>
        </xdr:from>
        <xdr:to>
          <xdr:col>4</xdr:col>
          <xdr:colOff>7620</xdr:colOff>
          <xdr:row>22</xdr:row>
          <xdr:rowOff>0</xdr:rowOff>
        </xdr:to>
        <xdr:sp macro="" textlink="">
          <xdr:nvSpPr>
            <xdr:cNvPr id="2054" name="ExportMultilingualTextButto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22</xdr:row>
          <xdr:rowOff>0</xdr:rowOff>
        </xdr:from>
        <xdr:to>
          <xdr:col>4</xdr:col>
          <xdr:colOff>7620</xdr:colOff>
          <xdr:row>23</xdr:row>
          <xdr:rowOff>0</xdr:rowOff>
        </xdr:to>
        <xdr:sp macro="" textlink="">
          <xdr:nvSpPr>
            <xdr:cNvPr id="2055" name="ImportVariableText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27</xdr:row>
          <xdr:rowOff>0</xdr:rowOff>
        </xdr:from>
        <xdr:to>
          <xdr:col>4</xdr:col>
          <xdr:colOff>7620</xdr:colOff>
          <xdr:row>28</xdr:row>
          <xdr:rowOff>0</xdr:rowOff>
        </xdr:to>
        <xdr:sp macro="" textlink="">
          <xdr:nvSpPr>
            <xdr:cNvPr id="2056" name="ParseUserInterfaceButton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24</xdr:row>
          <xdr:rowOff>0</xdr:rowOff>
        </xdr:from>
        <xdr:to>
          <xdr:col>4</xdr:col>
          <xdr:colOff>7620</xdr:colOff>
          <xdr:row>25</xdr:row>
          <xdr:rowOff>0</xdr:rowOff>
        </xdr:to>
        <xdr:sp macro="" textlink="">
          <xdr:nvSpPr>
            <xdr:cNvPr id="2057" name="IntegrateBitmaps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15</xdr:row>
          <xdr:rowOff>0</xdr:rowOff>
        </xdr:from>
        <xdr:to>
          <xdr:col>4</xdr:col>
          <xdr:colOff>7620</xdr:colOff>
          <xdr:row>16</xdr:row>
          <xdr:rowOff>0</xdr:rowOff>
        </xdr:to>
        <xdr:sp macro="" textlink="">
          <xdr:nvSpPr>
            <xdr:cNvPr id="2058" name="CheckButton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+f/Projekte/GDL/Develop/Dorma/ExtendableComponentDoor/ECD.project/parameters.ECD/ECD-MAIN-Parameterverwaltu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handle_dorma_ogro.project\parameters.dorma_OGRO\ECD-DORMA_OGRO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GS-Tür OL FL 2S2 20"/>
      <sheetName val="IMPORT AUFBEREITET"/>
      <sheetName val="Reimport Parameters"/>
    </sheetNames>
    <sheetDataSet>
      <sheetData sheetId="0" refreshError="1"/>
      <sheetData sheetId="1" refreshError="1">
        <row r="1">
          <cell r="B1" t="str">
            <v>addit. Values</v>
          </cell>
          <cell r="C1" t="str">
            <v>#</v>
          </cell>
          <cell r="D1" t="str">
            <v>available</v>
          </cell>
        </row>
        <row r="2">
          <cell r="B2">
            <v>0</v>
          </cell>
          <cell r="C2">
            <v>0</v>
          </cell>
          <cell r="D2">
            <v>0</v>
          </cell>
        </row>
        <row r="3">
          <cell r="B3" t="str">
            <v/>
          </cell>
          <cell r="C3">
            <v>2</v>
          </cell>
          <cell r="D3">
            <v>0</v>
          </cell>
        </row>
        <row r="4">
          <cell r="B4" t="str">
            <v/>
          </cell>
          <cell r="C4">
            <v>3</v>
          </cell>
          <cell r="D4">
            <v>0</v>
          </cell>
        </row>
        <row r="5">
          <cell r="B5" t="str">
            <v/>
          </cell>
          <cell r="C5">
            <v>4</v>
          </cell>
          <cell r="D5">
            <v>0</v>
          </cell>
        </row>
        <row r="6">
          <cell r="B6">
            <v>0</v>
          </cell>
          <cell r="C6">
            <v>0</v>
          </cell>
          <cell r="D6">
            <v>0</v>
          </cell>
        </row>
        <row r="7">
          <cell r="B7" t="str">
            <v/>
          </cell>
          <cell r="C7">
            <v>6</v>
          </cell>
          <cell r="D7">
            <v>0</v>
          </cell>
        </row>
        <row r="8">
          <cell r="B8" t="str">
            <v/>
          </cell>
          <cell r="C8">
            <v>7</v>
          </cell>
          <cell r="D8">
            <v>0</v>
          </cell>
        </row>
        <row r="9">
          <cell r="B9" t="str">
            <v/>
          </cell>
          <cell r="C9">
            <v>8</v>
          </cell>
          <cell r="D9">
            <v>0</v>
          </cell>
        </row>
        <row r="10">
          <cell r="B10" t="str">
            <v/>
          </cell>
          <cell r="C10">
            <v>9</v>
          </cell>
          <cell r="D10">
            <v>0</v>
          </cell>
        </row>
        <row r="11">
          <cell r="B11" t="str">
            <v/>
          </cell>
          <cell r="C11">
            <v>10</v>
          </cell>
          <cell r="D11">
            <v>0</v>
          </cell>
        </row>
        <row r="12">
          <cell r="B12" t="str">
            <v/>
          </cell>
          <cell r="C12">
            <v>11</v>
          </cell>
          <cell r="D12">
            <v>0</v>
          </cell>
        </row>
        <row r="13">
          <cell r="B13" t="str">
            <v/>
          </cell>
          <cell r="C13">
            <v>12</v>
          </cell>
          <cell r="D13">
            <v>0</v>
          </cell>
        </row>
        <row r="14">
          <cell r="B14" t="str">
            <v/>
          </cell>
          <cell r="C14">
            <v>13</v>
          </cell>
          <cell r="D14">
            <v>0</v>
          </cell>
        </row>
        <row r="15">
          <cell r="B15" t="str">
            <v/>
          </cell>
          <cell r="C15">
            <v>14</v>
          </cell>
          <cell r="D15">
            <v>0</v>
          </cell>
        </row>
        <row r="16">
          <cell r="B16" t="str">
            <v/>
          </cell>
          <cell r="C16">
            <v>15</v>
          </cell>
          <cell r="D16">
            <v>0</v>
          </cell>
        </row>
        <row r="17">
          <cell r="B17" t="str">
            <v/>
          </cell>
          <cell r="C17">
            <v>16</v>
          </cell>
          <cell r="D17">
            <v>0</v>
          </cell>
        </row>
        <row r="18">
          <cell r="B18" t="str">
            <v/>
          </cell>
          <cell r="C18">
            <v>17</v>
          </cell>
          <cell r="D18">
            <v>0</v>
          </cell>
        </row>
        <row r="19">
          <cell r="B19" t="str">
            <v/>
          </cell>
          <cell r="C19">
            <v>18</v>
          </cell>
          <cell r="D19">
            <v>0</v>
          </cell>
        </row>
        <row r="20">
          <cell r="B20" t="str">
            <v/>
          </cell>
          <cell r="C20">
            <v>19</v>
          </cell>
          <cell r="D20">
            <v>0</v>
          </cell>
        </row>
        <row r="21">
          <cell r="B21" t="str">
            <v/>
          </cell>
          <cell r="C21">
            <v>20</v>
          </cell>
          <cell r="D21">
            <v>0</v>
          </cell>
        </row>
        <row r="22">
          <cell r="B22" t="str">
            <v/>
          </cell>
          <cell r="C22">
            <v>21</v>
          </cell>
          <cell r="D22">
            <v>0</v>
          </cell>
        </row>
        <row r="23">
          <cell r="B23" t="str">
            <v/>
          </cell>
          <cell r="C23">
            <v>22</v>
          </cell>
          <cell r="D23">
            <v>0</v>
          </cell>
        </row>
        <row r="24">
          <cell r="B24" t="str">
            <v/>
          </cell>
          <cell r="C24">
            <v>23</v>
          </cell>
          <cell r="D24">
            <v>0</v>
          </cell>
        </row>
        <row r="25">
          <cell r="B25" t="str">
            <v/>
          </cell>
          <cell r="C25">
            <v>24</v>
          </cell>
          <cell r="D25">
            <v>0</v>
          </cell>
        </row>
        <row r="26">
          <cell r="B26" t="str">
            <v/>
          </cell>
          <cell r="C26">
            <v>25</v>
          </cell>
          <cell r="D26">
            <v>0</v>
          </cell>
        </row>
        <row r="27">
          <cell r="B27" t="str">
            <v/>
          </cell>
          <cell r="C27">
            <v>26</v>
          </cell>
          <cell r="D27">
            <v>0</v>
          </cell>
        </row>
        <row r="28">
          <cell r="B28" t="str">
            <v/>
          </cell>
          <cell r="C28">
            <v>27</v>
          </cell>
          <cell r="D28">
            <v>0</v>
          </cell>
        </row>
        <row r="29">
          <cell r="B29" t="str">
            <v/>
          </cell>
          <cell r="C29">
            <v>28</v>
          </cell>
          <cell r="D29">
            <v>0</v>
          </cell>
        </row>
        <row r="30">
          <cell r="B30" t="str">
            <v/>
          </cell>
          <cell r="C30">
            <v>29</v>
          </cell>
          <cell r="D30">
            <v>0</v>
          </cell>
        </row>
        <row r="31">
          <cell r="B31" t="str">
            <v/>
          </cell>
          <cell r="C31">
            <v>30</v>
          </cell>
          <cell r="D31">
            <v>0</v>
          </cell>
        </row>
        <row r="32">
          <cell r="B32" t="str">
            <v/>
          </cell>
          <cell r="C32">
            <v>31</v>
          </cell>
          <cell r="D32">
            <v>0</v>
          </cell>
        </row>
        <row r="33">
          <cell r="B33" t="str">
            <v/>
          </cell>
          <cell r="C33">
            <v>32</v>
          </cell>
          <cell r="D33">
            <v>0</v>
          </cell>
        </row>
        <row r="34">
          <cell r="B34" t="str">
            <v/>
          </cell>
          <cell r="C34">
            <v>33</v>
          </cell>
          <cell r="D34">
            <v>0</v>
          </cell>
        </row>
        <row r="35">
          <cell r="B35" t="str">
            <v/>
          </cell>
          <cell r="C35">
            <v>34</v>
          </cell>
          <cell r="D35">
            <v>0</v>
          </cell>
        </row>
        <row r="36">
          <cell r="B36" t="str">
            <v/>
          </cell>
          <cell r="C36">
            <v>35</v>
          </cell>
          <cell r="D36">
            <v>0</v>
          </cell>
        </row>
        <row r="37">
          <cell r="B37" t="str">
            <v/>
          </cell>
          <cell r="C37">
            <v>36</v>
          </cell>
          <cell r="D37">
            <v>0</v>
          </cell>
        </row>
        <row r="38">
          <cell r="B38" t="str">
            <v/>
          </cell>
          <cell r="C38">
            <v>37</v>
          </cell>
          <cell r="D38">
            <v>0</v>
          </cell>
        </row>
        <row r="39">
          <cell r="B39" t="str">
            <v/>
          </cell>
          <cell r="C39">
            <v>38</v>
          </cell>
          <cell r="D39">
            <v>0</v>
          </cell>
        </row>
        <row r="40">
          <cell r="B40" t="str">
            <v/>
          </cell>
          <cell r="C40">
            <v>39</v>
          </cell>
          <cell r="D40">
            <v>0</v>
          </cell>
        </row>
        <row r="41">
          <cell r="B41" t="str">
            <v/>
          </cell>
          <cell r="C41">
            <v>40</v>
          </cell>
          <cell r="D41">
            <v>0</v>
          </cell>
        </row>
        <row r="42">
          <cell r="B42" t="str">
            <v/>
          </cell>
          <cell r="C42">
            <v>41</v>
          </cell>
          <cell r="D42">
            <v>0</v>
          </cell>
        </row>
        <row r="43">
          <cell r="B43" t="str">
            <v/>
          </cell>
          <cell r="C43">
            <v>42</v>
          </cell>
          <cell r="D43">
            <v>0</v>
          </cell>
        </row>
        <row r="44">
          <cell r="B44" t="str">
            <v/>
          </cell>
          <cell r="C44">
            <v>43</v>
          </cell>
          <cell r="D44">
            <v>0</v>
          </cell>
        </row>
        <row r="45">
          <cell r="B45" t="str">
            <v/>
          </cell>
          <cell r="C45">
            <v>44</v>
          </cell>
          <cell r="D45">
            <v>0</v>
          </cell>
        </row>
        <row r="46">
          <cell r="B46" t="str">
            <v/>
          </cell>
          <cell r="C46">
            <v>45</v>
          </cell>
          <cell r="D46">
            <v>0</v>
          </cell>
        </row>
        <row r="47">
          <cell r="B47" t="str">
            <v/>
          </cell>
          <cell r="C47">
            <v>46</v>
          </cell>
          <cell r="D47">
            <v>0</v>
          </cell>
        </row>
        <row r="48">
          <cell r="B48" t="str">
            <v/>
          </cell>
          <cell r="C48">
            <v>47</v>
          </cell>
          <cell r="D48">
            <v>0</v>
          </cell>
        </row>
        <row r="49">
          <cell r="B49" t="str">
            <v/>
          </cell>
          <cell r="C49">
            <v>48</v>
          </cell>
          <cell r="D49">
            <v>0</v>
          </cell>
        </row>
        <row r="50">
          <cell r="B50" t="str">
            <v/>
          </cell>
          <cell r="C50">
            <v>49</v>
          </cell>
          <cell r="D50">
            <v>0</v>
          </cell>
        </row>
        <row r="51">
          <cell r="B51" t="str">
            <v/>
          </cell>
          <cell r="C51">
            <v>50</v>
          </cell>
          <cell r="D51">
            <v>0</v>
          </cell>
        </row>
        <row r="52">
          <cell r="B52" t="str">
            <v/>
          </cell>
          <cell r="C52">
            <v>51</v>
          </cell>
          <cell r="D52">
            <v>0</v>
          </cell>
        </row>
        <row r="53">
          <cell r="B53" t="str">
            <v/>
          </cell>
          <cell r="C53">
            <v>52</v>
          </cell>
          <cell r="D53">
            <v>0</v>
          </cell>
        </row>
        <row r="54">
          <cell r="B54" t="str">
            <v/>
          </cell>
          <cell r="C54">
            <v>53</v>
          </cell>
          <cell r="D54">
            <v>0</v>
          </cell>
        </row>
        <row r="55">
          <cell r="B55" t="str">
            <v/>
          </cell>
          <cell r="C55">
            <v>54</v>
          </cell>
          <cell r="D55">
            <v>0</v>
          </cell>
        </row>
        <row r="56">
          <cell r="B56" t="str">
            <v/>
          </cell>
          <cell r="C56">
            <v>55</v>
          </cell>
          <cell r="D56">
            <v>0</v>
          </cell>
        </row>
        <row r="57">
          <cell r="B57" t="str">
            <v/>
          </cell>
          <cell r="C57">
            <v>56</v>
          </cell>
          <cell r="D57">
            <v>0</v>
          </cell>
        </row>
        <row r="58">
          <cell r="B58" t="str">
            <v/>
          </cell>
          <cell r="C58">
            <v>57</v>
          </cell>
          <cell r="D58">
            <v>0</v>
          </cell>
        </row>
        <row r="59">
          <cell r="B59" t="str">
            <v/>
          </cell>
          <cell r="C59">
            <v>58</v>
          </cell>
          <cell r="D59">
            <v>0</v>
          </cell>
        </row>
        <row r="60">
          <cell r="B60" t="str">
            <v/>
          </cell>
          <cell r="C60">
            <v>59</v>
          </cell>
          <cell r="D60">
            <v>0</v>
          </cell>
        </row>
        <row r="61">
          <cell r="B61" t="str">
            <v/>
          </cell>
          <cell r="C61">
            <v>60</v>
          </cell>
          <cell r="D61">
            <v>0</v>
          </cell>
        </row>
        <row r="62">
          <cell r="B62" t="str">
            <v/>
          </cell>
          <cell r="C62">
            <v>61</v>
          </cell>
          <cell r="D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</row>
        <row r="64">
          <cell r="B64" t="str">
            <v/>
          </cell>
          <cell r="C64">
            <v>63</v>
          </cell>
          <cell r="D64" t="str">
            <v>x</v>
          </cell>
        </row>
        <row r="65">
          <cell r="B65" t="str">
            <v/>
          </cell>
          <cell r="C65">
            <v>64</v>
          </cell>
          <cell r="D65">
            <v>0</v>
          </cell>
        </row>
        <row r="66">
          <cell r="B66" t="str">
            <v/>
          </cell>
          <cell r="C66">
            <v>65</v>
          </cell>
          <cell r="D66">
            <v>0</v>
          </cell>
        </row>
        <row r="67">
          <cell r="B67" t="str">
            <v/>
          </cell>
          <cell r="C67">
            <v>66</v>
          </cell>
          <cell r="D67">
            <v>0</v>
          </cell>
        </row>
        <row r="68">
          <cell r="B68" t="str">
            <v/>
          </cell>
          <cell r="C68">
            <v>67</v>
          </cell>
          <cell r="D68">
            <v>0</v>
          </cell>
        </row>
        <row r="69">
          <cell r="B69" t="str">
            <v/>
          </cell>
          <cell r="C69">
            <v>68</v>
          </cell>
          <cell r="D69">
            <v>0</v>
          </cell>
        </row>
        <row r="70">
          <cell r="B70" t="str">
            <v/>
          </cell>
          <cell r="C70">
            <v>69</v>
          </cell>
          <cell r="D70">
            <v>0</v>
          </cell>
        </row>
        <row r="71">
          <cell r="B71" t="str">
            <v/>
          </cell>
          <cell r="C71">
            <v>70</v>
          </cell>
          <cell r="D71">
            <v>0</v>
          </cell>
        </row>
        <row r="72">
          <cell r="B72" t="str">
            <v/>
          </cell>
          <cell r="C72">
            <v>71</v>
          </cell>
          <cell r="D72">
            <v>0</v>
          </cell>
        </row>
        <row r="73">
          <cell r="B73" t="str">
            <v/>
          </cell>
          <cell r="C73">
            <v>72</v>
          </cell>
          <cell r="D73">
            <v>0</v>
          </cell>
        </row>
        <row r="74">
          <cell r="B74" t="str">
            <v>V</v>
          </cell>
          <cell r="C74">
            <v>73</v>
          </cell>
          <cell r="D74">
            <v>0</v>
          </cell>
        </row>
        <row r="75">
          <cell r="B75" t="str">
            <v/>
          </cell>
          <cell r="C75">
            <v>74</v>
          </cell>
          <cell r="D75">
            <v>0</v>
          </cell>
        </row>
        <row r="76">
          <cell r="B76" t="str">
            <v/>
          </cell>
          <cell r="C76">
            <v>75</v>
          </cell>
          <cell r="D76">
            <v>0</v>
          </cell>
        </row>
        <row r="77">
          <cell r="B77" t="str">
            <v/>
          </cell>
          <cell r="C77">
            <v>76</v>
          </cell>
          <cell r="D77">
            <v>0</v>
          </cell>
        </row>
        <row r="78">
          <cell r="B78" t="str">
            <v/>
          </cell>
          <cell r="C78">
            <v>77</v>
          </cell>
          <cell r="D78">
            <v>0</v>
          </cell>
        </row>
        <row r="79">
          <cell r="B79" t="str">
            <v/>
          </cell>
          <cell r="C79">
            <v>78</v>
          </cell>
          <cell r="D79">
            <v>0</v>
          </cell>
        </row>
        <row r="80">
          <cell r="B80" t="str">
            <v/>
          </cell>
          <cell r="C80">
            <v>79</v>
          </cell>
          <cell r="D80">
            <v>0</v>
          </cell>
        </row>
        <row r="81">
          <cell r="B81" t="str">
            <v/>
          </cell>
          <cell r="C81">
            <v>80</v>
          </cell>
          <cell r="D81">
            <v>0</v>
          </cell>
        </row>
        <row r="82">
          <cell r="B82" t="str">
            <v/>
          </cell>
          <cell r="C82">
            <v>81</v>
          </cell>
          <cell r="D82">
            <v>0</v>
          </cell>
        </row>
        <row r="83">
          <cell r="B83" t="str">
            <v/>
          </cell>
          <cell r="C83">
            <v>82</v>
          </cell>
          <cell r="D83">
            <v>0</v>
          </cell>
        </row>
        <row r="84">
          <cell r="B84" t="str">
            <v/>
          </cell>
          <cell r="C84">
            <v>83</v>
          </cell>
          <cell r="D84">
            <v>0</v>
          </cell>
        </row>
        <row r="85">
          <cell r="B85" t="str">
            <v/>
          </cell>
          <cell r="C85">
            <v>84</v>
          </cell>
          <cell r="D85">
            <v>0</v>
          </cell>
        </row>
        <row r="86">
          <cell r="B86" t="str">
            <v/>
          </cell>
          <cell r="C86">
            <v>85</v>
          </cell>
          <cell r="D86">
            <v>0</v>
          </cell>
        </row>
        <row r="87">
          <cell r="B87" t="str">
            <v/>
          </cell>
          <cell r="C87">
            <v>86</v>
          </cell>
          <cell r="D87">
            <v>0</v>
          </cell>
        </row>
        <row r="88">
          <cell r="B88" t="str">
            <v/>
          </cell>
          <cell r="C88">
            <v>87</v>
          </cell>
          <cell r="D88">
            <v>0</v>
          </cell>
        </row>
        <row r="89">
          <cell r="B89" t="str">
            <v/>
          </cell>
          <cell r="C89">
            <v>88</v>
          </cell>
          <cell r="D89">
            <v>0</v>
          </cell>
        </row>
        <row r="90">
          <cell r="B90" t="str">
            <v/>
          </cell>
          <cell r="C90">
            <v>89</v>
          </cell>
          <cell r="D90">
            <v>0</v>
          </cell>
        </row>
        <row r="91">
          <cell r="B91" t="str">
            <v/>
          </cell>
          <cell r="C91">
            <v>90</v>
          </cell>
          <cell r="D91">
            <v>0</v>
          </cell>
        </row>
        <row r="92">
          <cell r="B92" t="str">
            <v/>
          </cell>
          <cell r="C92">
            <v>91</v>
          </cell>
          <cell r="D92">
            <v>0</v>
          </cell>
        </row>
        <row r="93">
          <cell r="B93" t="str">
            <v/>
          </cell>
          <cell r="C93">
            <v>92</v>
          </cell>
          <cell r="D93">
            <v>0</v>
          </cell>
        </row>
        <row r="94">
          <cell r="B94" t="str">
            <v/>
          </cell>
          <cell r="C94">
            <v>93</v>
          </cell>
          <cell r="D94">
            <v>0</v>
          </cell>
        </row>
        <row r="95">
          <cell r="B95" t="str">
            <v/>
          </cell>
          <cell r="C95">
            <v>94</v>
          </cell>
          <cell r="D95">
            <v>0</v>
          </cell>
        </row>
        <row r="96">
          <cell r="B96" t="str">
            <v/>
          </cell>
          <cell r="C96">
            <v>95</v>
          </cell>
          <cell r="D96">
            <v>0</v>
          </cell>
        </row>
        <row r="97">
          <cell r="B97" t="str">
            <v/>
          </cell>
          <cell r="C97">
            <v>96</v>
          </cell>
          <cell r="D97">
            <v>0</v>
          </cell>
        </row>
        <row r="98">
          <cell r="B98" t="str">
            <v/>
          </cell>
          <cell r="C98">
            <v>97</v>
          </cell>
          <cell r="D98">
            <v>0</v>
          </cell>
        </row>
        <row r="99">
          <cell r="B99" t="str">
            <v/>
          </cell>
          <cell r="C99">
            <v>98</v>
          </cell>
          <cell r="D99">
            <v>0</v>
          </cell>
        </row>
        <row r="100">
          <cell r="B100" t="str">
            <v/>
          </cell>
          <cell r="C100">
            <v>99</v>
          </cell>
          <cell r="D100">
            <v>0</v>
          </cell>
        </row>
        <row r="101">
          <cell r="B101" t="str">
            <v/>
          </cell>
          <cell r="C101">
            <v>100</v>
          </cell>
          <cell r="D101">
            <v>0</v>
          </cell>
        </row>
        <row r="102">
          <cell r="B102" t="str">
            <v/>
          </cell>
          <cell r="C102">
            <v>101</v>
          </cell>
          <cell r="D102">
            <v>0</v>
          </cell>
        </row>
        <row r="103">
          <cell r="B103" t="str">
            <v/>
          </cell>
          <cell r="C103">
            <v>102</v>
          </cell>
          <cell r="D103">
            <v>0</v>
          </cell>
        </row>
        <row r="104">
          <cell r="B104" t="str">
            <v/>
          </cell>
          <cell r="C104">
            <v>103</v>
          </cell>
          <cell r="D104">
            <v>0</v>
          </cell>
        </row>
        <row r="105">
          <cell r="B105" t="str">
            <v/>
          </cell>
          <cell r="C105">
            <v>104</v>
          </cell>
          <cell r="D105">
            <v>0</v>
          </cell>
        </row>
        <row r="106">
          <cell r="B106" t="str">
            <v/>
          </cell>
          <cell r="C106">
            <v>105</v>
          </cell>
          <cell r="D106">
            <v>0</v>
          </cell>
        </row>
        <row r="107">
          <cell r="B107" t="str">
            <v/>
          </cell>
          <cell r="C107">
            <v>106</v>
          </cell>
          <cell r="D107">
            <v>0</v>
          </cell>
        </row>
        <row r="108">
          <cell r="B108" t="str">
            <v/>
          </cell>
          <cell r="C108">
            <v>107</v>
          </cell>
          <cell r="D108">
            <v>0</v>
          </cell>
        </row>
        <row r="109">
          <cell r="B109" t="str">
            <v/>
          </cell>
          <cell r="C109">
            <v>108</v>
          </cell>
          <cell r="D109">
            <v>0</v>
          </cell>
        </row>
        <row r="110">
          <cell r="B110" t="str">
            <v/>
          </cell>
          <cell r="C110">
            <v>109</v>
          </cell>
          <cell r="D110">
            <v>0</v>
          </cell>
        </row>
        <row r="111">
          <cell r="B111" t="str">
            <v/>
          </cell>
          <cell r="C111">
            <v>110</v>
          </cell>
          <cell r="D111">
            <v>0</v>
          </cell>
        </row>
        <row r="112">
          <cell r="B112" t="str">
            <v/>
          </cell>
          <cell r="C112">
            <v>111</v>
          </cell>
          <cell r="D112">
            <v>0</v>
          </cell>
        </row>
        <row r="113">
          <cell r="B113" t="str">
            <v/>
          </cell>
          <cell r="C113">
            <v>112</v>
          </cell>
          <cell r="D113">
            <v>0</v>
          </cell>
        </row>
        <row r="114">
          <cell r="B114" t="str">
            <v/>
          </cell>
          <cell r="C114">
            <v>113</v>
          </cell>
          <cell r="D114">
            <v>0</v>
          </cell>
        </row>
        <row r="115">
          <cell r="B115" t="str">
            <v/>
          </cell>
          <cell r="C115">
            <v>114</v>
          </cell>
          <cell r="D115">
            <v>0</v>
          </cell>
        </row>
        <row r="116">
          <cell r="B116" t="str">
            <v/>
          </cell>
          <cell r="C116">
            <v>115</v>
          </cell>
          <cell r="D116">
            <v>0</v>
          </cell>
        </row>
        <row r="117">
          <cell r="B117" t="str">
            <v/>
          </cell>
          <cell r="C117">
            <v>116</v>
          </cell>
          <cell r="D117">
            <v>0</v>
          </cell>
        </row>
        <row r="118">
          <cell r="B118" t="str">
            <v/>
          </cell>
          <cell r="C118">
            <v>117</v>
          </cell>
          <cell r="D118">
            <v>0</v>
          </cell>
        </row>
        <row r="119">
          <cell r="B119" t="str">
            <v/>
          </cell>
          <cell r="C119">
            <v>118</v>
          </cell>
          <cell r="D119">
            <v>0</v>
          </cell>
        </row>
        <row r="120">
          <cell r="B120" t="str">
            <v/>
          </cell>
          <cell r="C120">
            <v>119</v>
          </cell>
          <cell r="D120">
            <v>0</v>
          </cell>
        </row>
        <row r="121">
          <cell r="B121" t="str">
            <v/>
          </cell>
          <cell r="C121">
            <v>120</v>
          </cell>
          <cell r="D121">
            <v>0</v>
          </cell>
        </row>
        <row r="122">
          <cell r="B122" t="str">
            <v/>
          </cell>
          <cell r="C122">
            <v>121</v>
          </cell>
          <cell r="D122">
            <v>0</v>
          </cell>
        </row>
        <row r="123">
          <cell r="B123" t="str">
            <v/>
          </cell>
          <cell r="C123">
            <v>122</v>
          </cell>
          <cell r="D123">
            <v>0</v>
          </cell>
        </row>
        <row r="124">
          <cell r="B124" t="str">
            <v/>
          </cell>
          <cell r="C124">
            <v>123</v>
          </cell>
          <cell r="D124">
            <v>0</v>
          </cell>
        </row>
        <row r="125">
          <cell r="B125" t="str">
            <v/>
          </cell>
          <cell r="C125">
            <v>124</v>
          </cell>
          <cell r="D125">
            <v>0</v>
          </cell>
        </row>
        <row r="126">
          <cell r="B126" t="str">
            <v/>
          </cell>
          <cell r="C126">
            <v>125</v>
          </cell>
          <cell r="D126">
            <v>0</v>
          </cell>
        </row>
        <row r="127">
          <cell r="B127" t="str">
            <v/>
          </cell>
          <cell r="C127">
            <v>126</v>
          </cell>
          <cell r="D127">
            <v>0</v>
          </cell>
        </row>
        <row r="128">
          <cell r="B128" t="str">
            <v/>
          </cell>
          <cell r="C128">
            <v>127</v>
          </cell>
          <cell r="D128">
            <v>0</v>
          </cell>
        </row>
        <row r="129">
          <cell r="B129" t="str">
            <v/>
          </cell>
          <cell r="C129">
            <v>128</v>
          </cell>
          <cell r="D129">
            <v>0</v>
          </cell>
        </row>
        <row r="130">
          <cell r="B130" t="str">
            <v/>
          </cell>
          <cell r="C130">
            <v>129</v>
          </cell>
          <cell r="D130">
            <v>0</v>
          </cell>
        </row>
        <row r="131">
          <cell r="B131" t="str">
            <v/>
          </cell>
          <cell r="C131">
            <v>130</v>
          </cell>
          <cell r="D131">
            <v>0</v>
          </cell>
        </row>
        <row r="132">
          <cell r="B132" t="str">
            <v/>
          </cell>
          <cell r="C132">
            <v>131</v>
          </cell>
          <cell r="D132">
            <v>0</v>
          </cell>
        </row>
        <row r="133">
          <cell r="B133" t="str">
            <v/>
          </cell>
          <cell r="C133">
            <v>132</v>
          </cell>
          <cell r="D133">
            <v>0</v>
          </cell>
        </row>
        <row r="134">
          <cell r="B134" t="str">
            <v/>
          </cell>
          <cell r="C134">
            <v>133</v>
          </cell>
          <cell r="D134">
            <v>0</v>
          </cell>
        </row>
        <row r="135">
          <cell r="B135" t="str">
            <v/>
          </cell>
          <cell r="C135">
            <v>134</v>
          </cell>
          <cell r="D135">
            <v>0</v>
          </cell>
        </row>
        <row r="136">
          <cell r="B136" t="str">
            <v/>
          </cell>
          <cell r="C136">
            <v>135</v>
          </cell>
          <cell r="D136">
            <v>0</v>
          </cell>
        </row>
        <row r="137">
          <cell r="B137" t="str">
            <v/>
          </cell>
          <cell r="C137">
            <v>136</v>
          </cell>
          <cell r="D137">
            <v>0</v>
          </cell>
        </row>
        <row r="138">
          <cell r="B138" t="str">
            <v/>
          </cell>
          <cell r="C138">
            <v>137</v>
          </cell>
          <cell r="D138">
            <v>0</v>
          </cell>
        </row>
        <row r="139">
          <cell r="B139" t="str">
            <v/>
          </cell>
          <cell r="C139">
            <v>138</v>
          </cell>
          <cell r="D139">
            <v>0</v>
          </cell>
        </row>
        <row r="140">
          <cell r="B140" t="str">
            <v/>
          </cell>
          <cell r="C140">
            <v>139</v>
          </cell>
          <cell r="D140">
            <v>0</v>
          </cell>
        </row>
        <row r="141">
          <cell r="B141" t="str">
            <v/>
          </cell>
          <cell r="C141">
            <v>140</v>
          </cell>
          <cell r="D141">
            <v>0</v>
          </cell>
        </row>
        <row r="142">
          <cell r="B142" t="str">
            <v/>
          </cell>
          <cell r="C142">
            <v>141</v>
          </cell>
          <cell r="D142">
            <v>0</v>
          </cell>
        </row>
        <row r="143">
          <cell r="B143" t="str">
            <v/>
          </cell>
          <cell r="C143">
            <v>142</v>
          </cell>
          <cell r="D143">
            <v>0</v>
          </cell>
        </row>
        <row r="144">
          <cell r="B144" t="str">
            <v/>
          </cell>
          <cell r="C144">
            <v>143</v>
          </cell>
          <cell r="D144">
            <v>0</v>
          </cell>
        </row>
        <row r="145">
          <cell r="B145" t="str">
            <v/>
          </cell>
          <cell r="C145">
            <v>144</v>
          </cell>
          <cell r="D145">
            <v>0</v>
          </cell>
        </row>
        <row r="146">
          <cell r="B146" t="str">
            <v/>
          </cell>
          <cell r="C146">
            <v>145</v>
          </cell>
          <cell r="D146">
            <v>0</v>
          </cell>
        </row>
        <row r="147">
          <cell r="B147" t="str">
            <v/>
          </cell>
          <cell r="C147">
            <v>146</v>
          </cell>
          <cell r="D147">
            <v>0</v>
          </cell>
        </row>
        <row r="148">
          <cell r="B148" t="str">
            <v/>
          </cell>
          <cell r="C148">
            <v>147</v>
          </cell>
          <cell r="D148">
            <v>0</v>
          </cell>
        </row>
        <row r="149">
          <cell r="B149" t="str">
            <v/>
          </cell>
          <cell r="C149">
            <v>148</v>
          </cell>
          <cell r="D149">
            <v>0</v>
          </cell>
        </row>
        <row r="150">
          <cell r="B150" t="str">
            <v/>
          </cell>
          <cell r="C150">
            <v>149</v>
          </cell>
          <cell r="D150">
            <v>0</v>
          </cell>
        </row>
        <row r="151">
          <cell r="B151" t="str">
            <v/>
          </cell>
          <cell r="C151">
            <v>150</v>
          </cell>
          <cell r="D151">
            <v>0</v>
          </cell>
        </row>
        <row r="152">
          <cell r="B152" t="str">
            <v/>
          </cell>
          <cell r="C152">
            <v>151</v>
          </cell>
          <cell r="D152">
            <v>0</v>
          </cell>
        </row>
        <row r="153">
          <cell r="B153" t="str">
            <v/>
          </cell>
          <cell r="C153">
            <v>152</v>
          </cell>
          <cell r="D153">
            <v>0</v>
          </cell>
        </row>
        <row r="154">
          <cell r="B154" t="str">
            <v/>
          </cell>
          <cell r="C154">
            <v>153</v>
          </cell>
          <cell r="D154">
            <v>0</v>
          </cell>
        </row>
        <row r="155">
          <cell r="B155" t="str">
            <v/>
          </cell>
          <cell r="C155">
            <v>154</v>
          </cell>
          <cell r="D155">
            <v>0</v>
          </cell>
        </row>
        <row r="156">
          <cell r="B156" t="str">
            <v/>
          </cell>
          <cell r="C156">
            <v>155</v>
          </cell>
          <cell r="D156">
            <v>0</v>
          </cell>
        </row>
        <row r="157">
          <cell r="B157" t="str">
            <v/>
          </cell>
          <cell r="C157">
            <v>156</v>
          </cell>
          <cell r="D157">
            <v>0</v>
          </cell>
        </row>
        <row r="158">
          <cell r="B158" t="str">
            <v/>
          </cell>
          <cell r="C158">
            <v>157</v>
          </cell>
          <cell r="D158">
            <v>0</v>
          </cell>
        </row>
        <row r="159">
          <cell r="B159" t="str">
            <v/>
          </cell>
          <cell r="C159">
            <v>158</v>
          </cell>
          <cell r="D159">
            <v>0</v>
          </cell>
        </row>
        <row r="160">
          <cell r="B160" t="str">
            <v/>
          </cell>
          <cell r="C160">
            <v>159</v>
          </cell>
          <cell r="D160">
            <v>0</v>
          </cell>
        </row>
        <row r="161">
          <cell r="B161" t="str">
            <v/>
          </cell>
          <cell r="C161">
            <v>160</v>
          </cell>
          <cell r="D161">
            <v>0</v>
          </cell>
        </row>
        <row r="162">
          <cell r="B162" t="str">
            <v/>
          </cell>
          <cell r="C162">
            <v>161</v>
          </cell>
          <cell r="D162">
            <v>0</v>
          </cell>
        </row>
        <row r="163">
          <cell r="B163" t="str">
            <v/>
          </cell>
          <cell r="C163">
            <v>162</v>
          </cell>
          <cell r="D163">
            <v>0</v>
          </cell>
        </row>
        <row r="164">
          <cell r="B164" t="str">
            <v/>
          </cell>
          <cell r="C164">
            <v>163</v>
          </cell>
          <cell r="D164">
            <v>0</v>
          </cell>
        </row>
        <row r="165">
          <cell r="B165" t="str">
            <v/>
          </cell>
          <cell r="C165">
            <v>164</v>
          </cell>
          <cell r="D165">
            <v>0</v>
          </cell>
        </row>
        <row r="166">
          <cell r="B166" t="str">
            <v/>
          </cell>
          <cell r="C166">
            <v>165</v>
          </cell>
          <cell r="D166">
            <v>0</v>
          </cell>
        </row>
        <row r="167">
          <cell r="B167" t="str">
            <v/>
          </cell>
          <cell r="C167">
            <v>166</v>
          </cell>
          <cell r="D167">
            <v>0</v>
          </cell>
        </row>
        <row r="168">
          <cell r="B168" t="str">
            <v/>
          </cell>
          <cell r="C168">
            <v>167</v>
          </cell>
          <cell r="D168">
            <v>0</v>
          </cell>
        </row>
        <row r="169">
          <cell r="B169" t="str">
            <v/>
          </cell>
          <cell r="C169">
            <v>168</v>
          </cell>
          <cell r="D169">
            <v>0</v>
          </cell>
        </row>
        <row r="170">
          <cell r="B170" t="str">
            <v/>
          </cell>
          <cell r="C170">
            <v>169</v>
          </cell>
          <cell r="D170">
            <v>0</v>
          </cell>
        </row>
        <row r="171">
          <cell r="B171" t="str">
            <v/>
          </cell>
          <cell r="C171">
            <v>170</v>
          </cell>
          <cell r="D171">
            <v>0</v>
          </cell>
        </row>
        <row r="172">
          <cell r="B172" t="str">
            <v/>
          </cell>
          <cell r="C172">
            <v>171</v>
          </cell>
          <cell r="D172">
            <v>0</v>
          </cell>
        </row>
        <row r="173">
          <cell r="B173" t="str">
            <v/>
          </cell>
          <cell r="C173">
            <v>172</v>
          </cell>
          <cell r="D173">
            <v>0</v>
          </cell>
        </row>
        <row r="174">
          <cell r="B174" t="str">
            <v/>
          </cell>
          <cell r="C174">
            <v>173</v>
          </cell>
          <cell r="D174">
            <v>0</v>
          </cell>
        </row>
        <row r="175">
          <cell r="B175" t="str">
            <v>V</v>
          </cell>
          <cell r="C175">
            <v>174</v>
          </cell>
          <cell r="D175">
            <v>0</v>
          </cell>
        </row>
        <row r="176">
          <cell r="B176" t="str">
            <v/>
          </cell>
          <cell r="C176">
            <v>175</v>
          </cell>
          <cell r="D176">
            <v>0</v>
          </cell>
        </row>
        <row r="177">
          <cell r="B177" t="str">
            <v/>
          </cell>
          <cell r="C177">
            <v>176</v>
          </cell>
          <cell r="D177">
            <v>0</v>
          </cell>
        </row>
        <row r="178">
          <cell r="B178" t="str">
            <v/>
          </cell>
          <cell r="C178">
            <v>177</v>
          </cell>
          <cell r="D178">
            <v>0</v>
          </cell>
        </row>
        <row r="179">
          <cell r="B179" t="str">
            <v/>
          </cell>
          <cell r="C179">
            <v>178</v>
          </cell>
          <cell r="D179">
            <v>0</v>
          </cell>
        </row>
        <row r="180">
          <cell r="B180" t="str">
            <v/>
          </cell>
          <cell r="C180">
            <v>179</v>
          </cell>
          <cell r="D180">
            <v>0</v>
          </cell>
        </row>
        <row r="181">
          <cell r="B181" t="str">
            <v/>
          </cell>
          <cell r="C181">
            <v>180</v>
          </cell>
          <cell r="D181">
            <v>0</v>
          </cell>
        </row>
        <row r="182">
          <cell r="B182" t="str">
            <v/>
          </cell>
          <cell r="C182">
            <v>181</v>
          </cell>
          <cell r="D182">
            <v>0</v>
          </cell>
        </row>
        <row r="183">
          <cell r="B183" t="str">
            <v/>
          </cell>
          <cell r="C183">
            <v>182</v>
          </cell>
          <cell r="D183">
            <v>0</v>
          </cell>
        </row>
        <row r="184">
          <cell r="B184" t="str">
            <v/>
          </cell>
          <cell r="C184">
            <v>183</v>
          </cell>
          <cell r="D184">
            <v>0</v>
          </cell>
        </row>
        <row r="185">
          <cell r="B185" t="str">
            <v/>
          </cell>
          <cell r="C185">
            <v>184</v>
          </cell>
          <cell r="D185">
            <v>0</v>
          </cell>
        </row>
        <row r="186">
          <cell r="B186">
            <v>0</v>
          </cell>
          <cell r="C186">
            <v>0</v>
          </cell>
          <cell r="D186">
            <v>0</v>
          </cell>
        </row>
        <row r="187">
          <cell r="B187" t="str">
            <v/>
          </cell>
          <cell r="C187">
            <v>186</v>
          </cell>
          <cell r="D187">
            <v>0</v>
          </cell>
        </row>
        <row r="188">
          <cell r="B188" t="str">
            <v/>
          </cell>
          <cell r="C188">
            <v>187</v>
          </cell>
          <cell r="D188">
            <v>0</v>
          </cell>
        </row>
        <row r="189">
          <cell r="B189" t="str">
            <v/>
          </cell>
          <cell r="C189">
            <v>188</v>
          </cell>
          <cell r="D189">
            <v>0</v>
          </cell>
        </row>
        <row r="190">
          <cell r="B190" t="str">
            <v/>
          </cell>
          <cell r="C190">
            <v>189</v>
          </cell>
          <cell r="D190">
            <v>0</v>
          </cell>
        </row>
        <row r="191">
          <cell r="B191" t="str">
            <v/>
          </cell>
          <cell r="C191">
            <v>190</v>
          </cell>
          <cell r="D191">
            <v>0</v>
          </cell>
        </row>
        <row r="192">
          <cell r="B192" t="str">
            <v/>
          </cell>
          <cell r="C192">
            <v>191</v>
          </cell>
          <cell r="D192">
            <v>0</v>
          </cell>
        </row>
        <row r="193">
          <cell r="B193" t="str">
            <v/>
          </cell>
          <cell r="C193">
            <v>192</v>
          </cell>
          <cell r="D193">
            <v>0</v>
          </cell>
        </row>
        <row r="194">
          <cell r="B194" t="str">
            <v/>
          </cell>
          <cell r="C194">
            <v>193</v>
          </cell>
          <cell r="D194">
            <v>0</v>
          </cell>
        </row>
        <row r="195">
          <cell r="B195" t="str">
            <v/>
          </cell>
          <cell r="C195">
            <v>194</v>
          </cell>
          <cell r="D195">
            <v>0</v>
          </cell>
        </row>
        <row r="196">
          <cell r="B196" t="str">
            <v/>
          </cell>
          <cell r="C196">
            <v>195</v>
          </cell>
          <cell r="D196">
            <v>0</v>
          </cell>
        </row>
        <row r="197">
          <cell r="B197" t="str">
            <v/>
          </cell>
          <cell r="C197">
            <v>196</v>
          </cell>
          <cell r="D197">
            <v>0</v>
          </cell>
        </row>
        <row r="198">
          <cell r="B198" t="str">
            <v/>
          </cell>
          <cell r="C198">
            <v>197</v>
          </cell>
          <cell r="D198">
            <v>0</v>
          </cell>
        </row>
        <row r="199">
          <cell r="B199" t="str">
            <v/>
          </cell>
          <cell r="C199">
            <v>198</v>
          </cell>
          <cell r="D199">
            <v>0</v>
          </cell>
        </row>
        <row r="200">
          <cell r="B200" t="str">
            <v/>
          </cell>
          <cell r="C200">
            <v>199</v>
          </cell>
          <cell r="D200">
            <v>0</v>
          </cell>
        </row>
        <row r="201">
          <cell r="B201" t="str">
            <v>V</v>
          </cell>
          <cell r="C201">
            <v>200</v>
          </cell>
          <cell r="D201">
            <v>0</v>
          </cell>
        </row>
        <row r="202">
          <cell r="B202" t="str">
            <v>V</v>
          </cell>
          <cell r="C202">
            <v>201</v>
          </cell>
          <cell r="D202">
            <v>0</v>
          </cell>
        </row>
        <row r="203">
          <cell r="B203" t="str">
            <v>V</v>
          </cell>
          <cell r="C203">
            <v>202</v>
          </cell>
          <cell r="D203">
            <v>0</v>
          </cell>
        </row>
        <row r="204">
          <cell r="B204" t="str">
            <v/>
          </cell>
          <cell r="C204">
            <v>203</v>
          </cell>
          <cell r="D204">
            <v>0</v>
          </cell>
        </row>
        <row r="205">
          <cell r="B205" t="str">
            <v>A</v>
          </cell>
          <cell r="C205">
            <v>204</v>
          </cell>
          <cell r="D205">
            <v>0</v>
          </cell>
        </row>
        <row r="206">
          <cell r="B206" t="str">
            <v/>
          </cell>
          <cell r="C206">
            <v>205</v>
          </cell>
          <cell r="D206">
            <v>0</v>
          </cell>
        </row>
        <row r="207">
          <cell r="B207" t="str">
            <v/>
          </cell>
          <cell r="C207">
            <v>206</v>
          </cell>
          <cell r="D207">
            <v>0</v>
          </cell>
        </row>
        <row r="208">
          <cell r="B208" t="str">
            <v/>
          </cell>
          <cell r="C208">
            <v>207</v>
          </cell>
          <cell r="D208">
            <v>0</v>
          </cell>
        </row>
        <row r="209">
          <cell r="B209" t="str">
            <v/>
          </cell>
          <cell r="C209">
            <v>208</v>
          </cell>
          <cell r="D209">
            <v>0</v>
          </cell>
        </row>
        <row r="210">
          <cell r="B210" t="str">
            <v/>
          </cell>
          <cell r="C210">
            <v>209</v>
          </cell>
          <cell r="D210">
            <v>0</v>
          </cell>
        </row>
        <row r="211">
          <cell r="B211" t="str">
            <v/>
          </cell>
          <cell r="C211">
            <v>210</v>
          </cell>
          <cell r="D211">
            <v>0</v>
          </cell>
        </row>
        <row r="212">
          <cell r="B212" t="str">
            <v/>
          </cell>
          <cell r="C212">
            <v>211</v>
          </cell>
          <cell r="D212">
            <v>0</v>
          </cell>
        </row>
        <row r="213">
          <cell r="B213" t="str">
            <v/>
          </cell>
          <cell r="C213">
            <v>212</v>
          </cell>
          <cell r="D213">
            <v>0</v>
          </cell>
        </row>
        <row r="214">
          <cell r="B214" t="str">
            <v/>
          </cell>
          <cell r="C214">
            <v>213</v>
          </cell>
          <cell r="D214">
            <v>0</v>
          </cell>
        </row>
        <row r="215">
          <cell r="B215" t="str">
            <v>V</v>
          </cell>
          <cell r="C215">
            <v>214</v>
          </cell>
          <cell r="D215">
            <v>0</v>
          </cell>
        </row>
        <row r="216">
          <cell r="B216" t="str">
            <v>V</v>
          </cell>
          <cell r="C216">
            <v>215</v>
          </cell>
          <cell r="D216">
            <v>0</v>
          </cell>
        </row>
        <row r="217">
          <cell r="B217" t="str">
            <v/>
          </cell>
          <cell r="C217">
            <v>216</v>
          </cell>
          <cell r="D217">
            <v>0</v>
          </cell>
        </row>
        <row r="218">
          <cell r="B218" t="str">
            <v/>
          </cell>
          <cell r="C218">
            <v>217</v>
          </cell>
          <cell r="D218">
            <v>0</v>
          </cell>
        </row>
        <row r="219">
          <cell r="B219" t="str">
            <v/>
          </cell>
          <cell r="C219">
            <v>218</v>
          </cell>
          <cell r="D219">
            <v>0</v>
          </cell>
        </row>
        <row r="220">
          <cell r="B220" t="str">
            <v>V</v>
          </cell>
          <cell r="C220">
            <v>219</v>
          </cell>
          <cell r="D220">
            <v>0</v>
          </cell>
        </row>
        <row r="221">
          <cell r="B221" t="str">
            <v/>
          </cell>
          <cell r="C221">
            <v>220</v>
          </cell>
          <cell r="D221">
            <v>0</v>
          </cell>
        </row>
        <row r="222">
          <cell r="B222">
            <v>0</v>
          </cell>
          <cell r="C222">
            <v>0</v>
          </cell>
          <cell r="D222">
            <v>0</v>
          </cell>
        </row>
        <row r="223">
          <cell r="B223">
            <v>0</v>
          </cell>
          <cell r="C223">
            <v>0</v>
          </cell>
          <cell r="D223">
            <v>0</v>
          </cell>
        </row>
        <row r="224">
          <cell r="B224">
            <v>0</v>
          </cell>
          <cell r="C224">
            <v>0</v>
          </cell>
          <cell r="D224">
            <v>0</v>
          </cell>
        </row>
        <row r="225">
          <cell r="B225" t="str">
            <v/>
          </cell>
          <cell r="C225">
            <v>224</v>
          </cell>
          <cell r="D225">
            <v>0</v>
          </cell>
        </row>
        <row r="226">
          <cell r="B226" t="str">
            <v/>
          </cell>
          <cell r="C226">
            <v>225</v>
          </cell>
          <cell r="D226">
            <v>0</v>
          </cell>
        </row>
        <row r="227">
          <cell r="B227" t="str">
            <v/>
          </cell>
          <cell r="C227">
            <v>226</v>
          </cell>
          <cell r="D227">
            <v>0</v>
          </cell>
        </row>
        <row r="228">
          <cell r="B228" t="str">
            <v/>
          </cell>
          <cell r="C228">
            <v>227</v>
          </cell>
          <cell r="D228">
            <v>0</v>
          </cell>
        </row>
        <row r="229">
          <cell r="B229" t="str">
            <v/>
          </cell>
          <cell r="C229">
            <v>228</v>
          </cell>
          <cell r="D229">
            <v>0</v>
          </cell>
        </row>
        <row r="230">
          <cell r="B230" t="str">
            <v/>
          </cell>
          <cell r="C230">
            <v>229</v>
          </cell>
          <cell r="D230">
            <v>0</v>
          </cell>
        </row>
        <row r="231">
          <cell r="B231" t="str">
            <v/>
          </cell>
          <cell r="C231">
            <v>230</v>
          </cell>
          <cell r="D231">
            <v>0</v>
          </cell>
        </row>
        <row r="232">
          <cell r="B232" t="str">
            <v/>
          </cell>
          <cell r="C232">
            <v>231</v>
          </cell>
          <cell r="D232">
            <v>0</v>
          </cell>
        </row>
        <row r="233">
          <cell r="B233" t="str">
            <v/>
          </cell>
          <cell r="C233">
            <v>232</v>
          </cell>
          <cell r="D233">
            <v>0</v>
          </cell>
        </row>
        <row r="234">
          <cell r="B234" t="str">
            <v/>
          </cell>
          <cell r="C234">
            <v>233</v>
          </cell>
          <cell r="D234">
            <v>0</v>
          </cell>
        </row>
        <row r="235">
          <cell r="B235" t="str">
            <v/>
          </cell>
          <cell r="C235">
            <v>234</v>
          </cell>
          <cell r="D235">
            <v>0</v>
          </cell>
        </row>
        <row r="236">
          <cell r="B236" t="str">
            <v/>
          </cell>
          <cell r="C236">
            <v>235</v>
          </cell>
          <cell r="D236">
            <v>0</v>
          </cell>
        </row>
        <row r="237">
          <cell r="B237" t="str">
            <v/>
          </cell>
          <cell r="C237">
            <v>236</v>
          </cell>
          <cell r="D237">
            <v>0</v>
          </cell>
        </row>
        <row r="238">
          <cell r="B238" t="str">
            <v/>
          </cell>
          <cell r="C238">
            <v>237</v>
          </cell>
          <cell r="D238">
            <v>0</v>
          </cell>
        </row>
        <row r="239">
          <cell r="B239" t="str">
            <v/>
          </cell>
          <cell r="C239">
            <v>238</v>
          </cell>
          <cell r="D239">
            <v>0</v>
          </cell>
        </row>
        <row r="240">
          <cell r="B240">
            <v>0</v>
          </cell>
          <cell r="C240">
            <v>0</v>
          </cell>
          <cell r="D240">
            <v>0</v>
          </cell>
        </row>
        <row r="241">
          <cell r="B241">
            <v>0</v>
          </cell>
          <cell r="C241">
            <v>0</v>
          </cell>
          <cell r="D241">
            <v>0</v>
          </cell>
        </row>
        <row r="242">
          <cell r="B242" t="str">
            <v/>
          </cell>
          <cell r="C242">
            <v>241</v>
          </cell>
          <cell r="D242">
            <v>0</v>
          </cell>
        </row>
        <row r="243">
          <cell r="B243" t="str">
            <v/>
          </cell>
          <cell r="C243">
            <v>242</v>
          </cell>
          <cell r="D243">
            <v>0</v>
          </cell>
        </row>
        <row r="244">
          <cell r="B244" t="str">
            <v/>
          </cell>
          <cell r="C244">
            <v>243</v>
          </cell>
          <cell r="D244">
            <v>0</v>
          </cell>
        </row>
        <row r="245">
          <cell r="B245" t="str">
            <v/>
          </cell>
          <cell r="C245">
            <v>244</v>
          </cell>
          <cell r="D245">
            <v>0</v>
          </cell>
        </row>
        <row r="246">
          <cell r="B246" t="str">
            <v/>
          </cell>
          <cell r="C246">
            <v>245</v>
          </cell>
          <cell r="D246">
            <v>0</v>
          </cell>
        </row>
        <row r="247">
          <cell r="B247" t="str">
            <v/>
          </cell>
          <cell r="C247">
            <v>246</v>
          </cell>
          <cell r="D247">
            <v>0</v>
          </cell>
        </row>
        <row r="248">
          <cell r="B248" t="str">
            <v/>
          </cell>
          <cell r="C248">
            <v>247</v>
          </cell>
          <cell r="D248">
            <v>0</v>
          </cell>
        </row>
        <row r="249">
          <cell r="B249" t="str">
            <v/>
          </cell>
          <cell r="C249">
            <v>248</v>
          </cell>
          <cell r="D249">
            <v>0</v>
          </cell>
        </row>
        <row r="250">
          <cell r="B250" t="str">
            <v/>
          </cell>
          <cell r="C250">
            <v>249</v>
          </cell>
          <cell r="D250">
            <v>0</v>
          </cell>
        </row>
        <row r="251">
          <cell r="B251" t="str">
            <v/>
          </cell>
          <cell r="C251">
            <v>250</v>
          </cell>
          <cell r="D251">
            <v>0</v>
          </cell>
        </row>
        <row r="252">
          <cell r="B252" t="str">
            <v/>
          </cell>
          <cell r="C252">
            <v>251</v>
          </cell>
          <cell r="D252">
            <v>0</v>
          </cell>
        </row>
        <row r="254">
          <cell r="B254" t="str">
            <v/>
          </cell>
          <cell r="C254">
            <v>253</v>
          </cell>
          <cell r="D254">
            <v>0</v>
          </cell>
        </row>
        <row r="255">
          <cell r="B255" t="str">
            <v/>
          </cell>
          <cell r="C255">
            <v>254</v>
          </cell>
          <cell r="D255">
            <v>0</v>
          </cell>
        </row>
        <row r="256">
          <cell r="B256" t="str">
            <v/>
          </cell>
          <cell r="C256">
            <v>255</v>
          </cell>
          <cell r="D256">
            <v>0</v>
          </cell>
        </row>
        <row r="257">
          <cell r="B257" t="str">
            <v/>
          </cell>
          <cell r="C257">
            <v>256</v>
          </cell>
          <cell r="D257">
            <v>0</v>
          </cell>
        </row>
        <row r="258">
          <cell r="B258" t="str">
            <v/>
          </cell>
          <cell r="C258">
            <v>257</v>
          </cell>
          <cell r="D258">
            <v>0</v>
          </cell>
        </row>
        <row r="259">
          <cell r="B259" t="str">
            <v/>
          </cell>
          <cell r="C259">
            <v>258</v>
          </cell>
          <cell r="D259">
            <v>0</v>
          </cell>
        </row>
        <row r="260">
          <cell r="B260" t="str">
            <v/>
          </cell>
          <cell r="C260">
            <v>259</v>
          </cell>
          <cell r="D260">
            <v>0</v>
          </cell>
        </row>
        <row r="261">
          <cell r="B261" t="str">
            <v/>
          </cell>
          <cell r="C261">
            <v>260</v>
          </cell>
          <cell r="D261">
            <v>0</v>
          </cell>
        </row>
        <row r="262">
          <cell r="B262" t="str">
            <v/>
          </cell>
          <cell r="C262">
            <v>261</v>
          </cell>
          <cell r="D262">
            <v>0</v>
          </cell>
        </row>
        <row r="263">
          <cell r="B263" t="str">
            <v/>
          </cell>
          <cell r="C263">
            <v>262</v>
          </cell>
          <cell r="D263">
            <v>0</v>
          </cell>
        </row>
        <row r="264">
          <cell r="B264" t="str">
            <v/>
          </cell>
          <cell r="C264">
            <v>263</v>
          </cell>
          <cell r="D264">
            <v>0</v>
          </cell>
        </row>
        <row r="265">
          <cell r="B265" t="str">
            <v/>
          </cell>
          <cell r="C265">
            <v>264</v>
          </cell>
          <cell r="D265">
            <v>0</v>
          </cell>
        </row>
        <row r="266">
          <cell r="B266" t="str">
            <v/>
          </cell>
          <cell r="C266">
            <v>265</v>
          </cell>
          <cell r="D266">
            <v>0</v>
          </cell>
        </row>
        <row r="267">
          <cell r="B267">
            <v>0</v>
          </cell>
          <cell r="C267">
            <v>0</v>
          </cell>
          <cell r="D267">
            <v>0</v>
          </cell>
        </row>
        <row r="268">
          <cell r="B268" t="str">
            <v/>
          </cell>
          <cell r="C268">
            <v>267</v>
          </cell>
          <cell r="D268">
            <v>0</v>
          </cell>
        </row>
        <row r="269">
          <cell r="B269" t="str">
            <v>A</v>
          </cell>
          <cell r="C269">
            <v>268</v>
          </cell>
          <cell r="D269">
            <v>0</v>
          </cell>
        </row>
        <row r="270">
          <cell r="B270" t="str">
            <v>A</v>
          </cell>
          <cell r="C270">
            <v>269</v>
          </cell>
          <cell r="D270">
            <v>0</v>
          </cell>
        </row>
        <row r="271">
          <cell r="B271" t="str">
            <v/>
          </cell>
          <cell r="C271">
            <v>270</v>
          </cell>
          <cell r="D271">
            <v>0</v>
          </cell>
        </row>
        <row r="272">
          <cell r="B272" t="str">
            <v/>
          </cell>
          <cell r="C272">
            <v>271</v>
          </cell>
          <cell r="D272">
            <v>0</v>
          </cell>
        </row>
        <row r="273">
          <cell r="B273" t="str">
            <v/>
          </cell>
          <cell r="C273">
            <v>272</v>
          </cell>
          <cell r="D273">
            <v>0</v>
          </cell>
        </row>
        <row r="274">
          <cell r="B274">
            <v>0</v>
          </cell>
          <cell r="C274">
            <v>0</v>
          </cell>
          <cell r="D274">
            <v>0</v>
          </cell>
        </row>
        <row r="275">
          <cell r="B275" t="str">
            <v/>
          </cell>
          <cell r="C275">
            <v>274</v>
          </cell>
          <cell r="D275">
            <v>0</v>
          </cell>
        </row>
        <row r="276">
          <cell r="B276" t="str">
            <v/>
          </cell>
          <cell r="C276">
            <v>275</v>
          </cell>
          <cell r="D276">
            <v>0</v>
          </cell>
        </row>
        <row r="277">
          <cell r="B277" t="str">
            <v>A</v>
          </cell>
          <cell r="C277">
            <v>276</v>
          </cell>
          <cell r="D277">
            <v>0</v>
          </cell>
        </row>
        <row r="278">
          <cell r="B278" t="str">
            <v/>
          </cell>
          <cell r="C278">
            <v>277</v>
          </cell>
          <cell r="D278">
            <v>0</v>
          </cell>
        </row>
        <row r="279">
          <cell r="B279" t="str">
            <v>A</v>
          </cell>
          <cell r="C279">
            <v>278</v>
          </cell>
          <cell r="D279">
            <v>0</v>
          </cell>
        </row>
        <row r="280">
          <cell r="B280" t="str">
            <v>A</v>
          </cell>
          <cell r="C280">
            <v>279</v>
          </cell>
          <cell r="D280">
            <v>0</v>
          </cell>
        </row>
        <row r="281">
          <cell r="B281" t="str">
            <v>A</v>
          </cell>
          <cell r="C281">
            <v>280</v>
          </cell>
          <cell r="D281">
            <v>0</v>
          </cell>
        </row>
        <row r="282">
          <cell r="B282" t="str">
            <v/>
          </cell>
          <cell r="C282">
            <v>281</v>
          </cell>
          <cell r="D282">
            <v>0</v>
          </cell>
        </row>
        <row r="283">
          <cell r="B283" t="str">
            <v>A</v>
          </cell>
          <cell r="C283">
            <v>282</v>
          </cell>
          <cell r="D283">
            <v>0</v>
          </cell>
        </row>
        <row r="284">
          <cell r="B284" t="str">
            <v/>
          </cell>
          <cell r="C284">
            <v>283</v>
          </cell>
          <cell r="D284">
            <v>0</v>
          </cell>
        </row>
        <row r="285">
          <cell r="B285" t="str">
            <v>A</v>
          </cell>
          <cell r="C285">
            <v>284</v>
          </cell>
          <cell r="D285">
            <v>0</v>
          </cell>
        </row>
        <row r="286">
          <cell r="B286" t="str">
            <v/>
          </cell>
          <cell r="C286">
            <v>285</v>
          </cell>
          <cell r="D286">
            <v>0</v>
          </cell>
        </row>
        <row r="287">
          <cell r="B287" t="str">
            <v/>
          </cell>
          <cell r="C287">
            <v>286</v>
          </cell>
          <cell r="D287">
            <v>0</v>
          </cell>
        </row>
        <row r="288">
          <cell r="B288" t="str">
            <v/>
          </cell>
          <cell r="C288">
            <v>287</v>
          </cell>
          <cell r="D288">
            <v>0</v>
          </cell>
        </row>
        <row r="289">
          <cell r="B289" t="str">
            <v/>
          </cell>
          <cell r="C289">
            <v>288</v>
          </cell>
          <cell r="D289">
            <v>0</v>
          </cell>
        </row>
        <row r="290">
          <cell r="B290" t="str">
            <v/>
          </cell>
          <cell r="C290">
            <v>289</v>
          </cell>
          <cell r="D290">
            <v>0</v>
          </cell>
        </row>
        <row r="291">
          <cell r="B291" t="str">
            <v/>
          </cell>
          <cell r="C291">
            <v>290</v>
          </cell>
          <cell r="D291">
            <v>0</v>
          </cell>
        </row>
        <row r="292">
          <cell r="B292" t="str">
            <v/>
          </cell>
          <cell r="C292">
            <v>291</v>
          </cell>
          <cell r="D292">
            <v>0</v>
          </cell>
        </row>
        <row r="293">
          <cell r="B293" t="str">
            <v/>
          </cell>
          <cell r="C293">
            <v>292</v>
          </cell>
          <cell r="D293">
            <v>0</v>
          </cell>
        </row>
        <row r="294">
          <cell r="B294" t="str">
            <v/>
          </cell>
          <cell r="C294">
            <v>293</v>
          </cell>
          <cell r="D294">
            <v>0</v>
          </cell>
        </row>
        <row r="295">
          <cell r="B295" t="str">
            <v/>
          </cell>
          <cell r="C295">
            <v>294</v>
          </cell>
          <cell r="D295">
            <v>0</v>
          </cell>
        </row>
        <row r="296">
          <cell r="B296" t="str">
            <v/>
          </cell>
          <cell r="C296">
            <v>295</v>
          </cell>
          <cell r="D296">
            <v>0</v>
          </cell>
        </row>
        <row r="297">
          <cell r="B297" t="str">
            <v/>
          </cell>
          <cell r="C297">
            <v>296</v>
          </cell>
          <cell r="D297">
            <v>0</v>
          </cell>
        </row>
        <row r="298">
          <cell r="B298" t="str">
            <v/>
          </cell>
          <cell r="C298">
            <v>297</v>
          </cell>
          <cell r="D298">
            <v>0</v>
          </cell>
        </row>
        <row r="299">
          <cell r="B299" t="str">
            <v/>
          </cell>
          <cell r="C299">
            <v>298</v>
          </cell>
          <cell r="D299">
            <v>0</v>
          </cell>
        </row>
        <row r="300">
          <cell r="B300" t="str">
            <v/>
          </cell>
          <cell r="C300">
            <v>299</v>
          </cell>
          <cell r="D300">
            <v>0</v>
          </cell>
        </row>
        <row r="301">
          <cell r="B301" t="str">
            <v/>
          </cell>
          <cell r="C301">
            <v>300</v>
          </cell>
          <cell r="D301">
            <v>0</v>
          </cell>
        </row>
        <row r="302">
          <cell r="B302" t="str">
            <v/>
          </cell>
          <cell r="C302">
            <v>301</v>
          </cell>
          <cell r="D302">
            <v>0</v>
          </cell>
        </row>
        <row r="303">
          <cell r="B303" t="str">
            <v/>
          </cell>
          <cell r="C303">
            <v>302</v>
          </cell>
          <cell r="D303">
            <v>0</v>
          </cell>
        </row>
        <row r="304">
          <cell r="B304" t="str">
            <v/>
          </cell>
          <cell r="C304">
            <v>303</v>
          </cell>
          <cell r="D304">
            <v>0</v>
          </cell>
        </row>
        <row r="305">
          <cell r="B305" t="str">
            <v/>
          </cell>
          <cell r="C305">
            <v>304</v>
          </cell>
          <cell r="D305">
            <v>0</v>
          </cell>
        </row>
        <row r="306">
          <cell r="B306" t="str">
            <v/>
          </cell>
          <cell r="C306">
            <v>305</v>
          </cell>
          <cell r="D306">
            <v>0</v>
          </cell>
        </row>
        <row r="307">
          <cell r="B307" t="str">
            <v/>
          </cell>
          <cell r="C307">
            <v>306</v>
          </cell>
          <cell r="D307">
            <v>0</v>
          </cell>
        </row>
        <row r="308">
          <cell r="B308" t="str">
            <v/>
          </cell>
          <cell r="C308">
            <v>307</v>
          </cell>
          <cell r="D308">
            <v>0</v>
          </cell>
        </row>
        <row r="309">
          <cell r="B309" t="str">
            <v/>
          </cell>
          <cell r="C309">
            <v>308</v>
          </cell>
          <cell r="D309">
            <v>0</v>
          </cell>
        </row>
        <row r="310">
          <cell r="B310" t="str">
            <v/>
          </cell>
          <cell r="C310">
            <v>309</v>
          </cell>
          <cell r="D310">
            <v>0</v>
          </cell>
        </row>
        <row r="311">
          <cell r="B311" t="str">
            <v/>
          </cell>
          <cell r="C311">
            <v>310</v>
          </cell>
          <cell r="D311">
            <v>0</v>
          </cell>
        </row>
        <row r="312">
          <cell r="B312" t="str">
            <v/>
          </cell>
          <cell r="C312">
            <v>311</v>
          </cell>
          <cell r="D312">
            <v>0</v>
          </cell>
        </row>
        <row r="313">
          <cell r="B313" t="str">
            <v/>
          </cell>
          <cell r="C313">
            <v>312</v>
          </cell>
          <cell r="D313">
            <v>0</v>
          </cell>
        </row>
        <row r="314">
          <cell r="B314">
            <v>0</v>
          </cell>
          <cell r="C314">
            <v>0</v>
          </cell>
          <cell r="D314">
            <v>0</v>
          </cell>
        </row>
        <row r="315">
          <cell r="B315" t="str">
            <v/>
          </cell>
          <cell r="C315">
            <v>314</v>
          </cell>
          <cell r="D315">
            <v>0</v>
          </cell>
        </row>
        <row r="316">
          <cell r="B316" t="str">
            <v/>
          </cell>
          <cell r="C316">
            <v>315</v>
          </cell>
          <cell r="D316">
            <v>0</v>
          </cell>
        </row>
        <row r="317">
          <cell r="B317" t="str">
            <v/>
          </cell>
          <cell r="C317">
            <v>316</v>
          </cell>
          <cell r="D317">
            <v>0</v>
          </cell>
        </row>
        <row r="318">
          <cell r="B318" t="str">
            <v/>
          </cell>
          <cell r="C318">
            <v>317</v>
          </cell>
          <cell r="D318">
            <v>0</v>
          </cell>
        </row>
        <row r="319">
          <cell r="B319" t="str">
            <v/>
          </cell>
          <cell r="C319">
            <v>318</v>
          </cell>
          <cell r="D319">
            <v>0</v>
          </cell>
        </row>
        <row r="320">
          <cell r="B320" t="str">
            <v/>
          </cell>
          <cell r="C320">
            <v>319</v>
          </cell>
          <cell r="D320">
            <v>0</v>
          </cell>
        </row>
        <row r="321">
          <cell r="B321" t="str">
            <v/>
          </cell>
          <cell r="C321">
            <v>320</v>
          </cell>
          <cell r="D321">
            <v>0</v>
          </cell>
        </row>
        <row r="322">
          <cell r="B322" t="str">
            <v/>
          </cell>
          <cell r="C322">
            <v>321</v>
          </cell>
          <cell r="D322">
            <v>0</v>
          </cell>
        </row>
        <row r="323">
          <cell r="B323" t="str">
            <v/>
          </cell>
          <cell r="C323">
            <v>322</v>
          </cell>
          <cell r="D323">
            <v>0</v>
          </cell>
        </row>
        <row r="324">
          <cell r="B324" t="str">
            <v/>
          </cell>
          <cell r="C324">
            <v>323</v>
          </cell>
          <cell r="D324">
            <v>0</v>
          </cell>
        </row>
        <row r="325">
          <cell r="B325" t="str">
            <v/>
          </cell>
          <cell r="C325">
            <v>324</v>
          </cell>
          <cell r="D325">
            <v>0</v>
          </cell>
        </row>
        <row r="326">
          <cell r="B326" t="str">
            <v/>
          </cell>
          <cell r="C326">
            <v>325</v>
          </cell>
          <cell r="D326">
            <v>0</v>
          </cell>
        </row>
        <row r="327">
          <cell r="B327" t="str">
            <v/>
          </cell>
          <cell r="C327">
            <v>326</v>
          </cell>
          <cell r="D327">
            <v>0</v>
          </cell>
        </row>
        <row r="328">
          <cell r="B328" t="str">
            <v/>
          </cell>
          <cell r="C328">
            <v>327</v>
          </cell>
          <cell r="D328">
            <v>0</v>
          </cell>
        </row>
        <row r="329">
          <cell r="B329" t="str">
            <v/>
          </cell>
          <cell r="C329">
            <v>328</v>
          </cell>
          <cell r="D329">
            <v>0</v>
          </cell>
        </row>
        <row r="330">
          <cell r="B330" t="str">
            <v/>
          </cell>
          <cell r="C330">
            <v>329</v>
          </cell>
          <cell r="D330">
            <v>0</v>
          </cell>
        </row>
        <row r="331">
          <cell r="B331" t="str">
            <v/>
          </cell>
          <cell r="C331">
            <v>330</v>
          </cell>
          <cell r="D331">
            <v>0</v>
          </cell>
        </row>
        <row r="332">
          <cell r="B332" t="str">
            <v>V</v>
          </cell>
          <cell r="C332">
            <v>331</v>
          </cell>
          <cell r="D332">
            <v>0</v>
          </cell>
        </row>
        <row r="333">
          <cell r="B333" t="str">
            <v/>
          </cell>
          <cell r="C333">
            <v>332</v>
          </cell>
          <cell r="D333">
            <v>0</v>
          </cell>
        </row>
        <row r="334">
          <cell r="B334" t="str">
            <v/>
          </cell>
          <cell r="C334">
            <v>333</v>
          </cell>
          <cell r="D334">
            <v>0</v>
          </cell>
        </row>
        <row r="335">
          <cell r="B335" t="str">
            <v/>
          </cell>
          <cell r="C335">
            <v>334</v>
          </cell>
          <cell r="D335">
            <v>0</v>
          </cell>
        </row>
        <row r="336">
          <cell r="B336" t="str">
            <v/>
          </cell>
          <cell r="C336">
            <v>335</v>
          </cell>
          <cell r="D336">
            <v>0</v>
          </cell>
        </row>
        <row r="337">
          <cell r="B337" t="str">
            <v/>
          </cell>
          <cell r="C337">
            <v>336</v>
          </cell>
          <cell r="D337">
            <v>0</v>
          </cell>
        </row>
        <row r="338">
          <cell r="B338" t="str">
            <v/>
          </cell>
          <cell r="C338">
            <v>337</v>
          </cell>
          <cell r="D338">
            <v>0</v>
          </cell>
        </row>
        <row r="339">
          <cell r="B339" t="str">
            <v/>
          </cell>
          <cell r="C339">
            <v>338</v>
          </cell>
          <cell r="D339">
            <v>0</v>
          </cell>
        </row>
        <row r="340">
          <cell r="B340" t="str">
            <v/>
          </cell>
          <cell r="C340">
            <v>339</v>
          </cell>
          <cell r="D340">
            <v>0</v>
          </cell>
        </row>
        <row r="341">
          <cell r="B341" t="str">
            <v/>
          </cell>
          <cell r="C341">
            <v>340</v>
          </cell>
          <cell r="D341">
            <v>0</v>
          </cell>
        </row>
        <row r="342">
          <cell r="B342" t="str">
            <v/>
          </cell>
          <cell r="C342">
            <v>341</v>
          </cell>
          <cell r="D342">
            <v>0</v>
          </cell>
        </row>
        <row r="343">
          <cell r="B343" t="str">
            <v/>
          </cell>
          <cell r="C343">
            <v>342</v>
          </cell>
          <cell r="D343">
            <v>0</v>
          </cell>
        </row>
        <row r="344">
          <cell r="B344" t="str">
            <v/>
          </cell>
          <cell r="C344">
            <v>343</v>
          </cell>
          <cell r="D344">
            <v>0</v>
          </cell>
        </row>
        <row r="345">
          <cell r="B345" t="str">
            <v/>
          </cell>
          <cell r="C345">
            <v>344</v>
          </cell>
          <cell r="D345">
            <v>0</v>
          </cell>
        </row>
        <row r="346">
          <cell r="B346" t="str">
            <v/>
          </cell>
          <cell r="C346">
            <v>345</v>
          </cell>
          <cell r="D346">
            <v>0</v>
          </cell>
        </row>
        <row r="347">
          <cell r="B347" t="str">
            <v/>
          </cell>
          <cell r="C347">
            <v>346</v>
          </cell>
          <cell r="D347">
            <v>0</v>
          </cell>
        </row>
        <row r="348">
          <cell r="B348" t="str">
            <v/>
          </cell>
          <cell r="C348">
            <v>347</v>
          </cell>
          <cell r="D348">
            <v>0</v>
          </cell>
        </row>
        <row r="349">
          <cell r="B349" t="str">
            <v/>
          </cell>
          <cell r="C349">
            <v>348</v>
          </cell>
          <cell r="D349">
            <v>0</v>
          </cell>
        </row>
        <row r="350">
          <cell r="B350" t="str">
            <v/>
          </cell>
          <cell r="C350">
            <v>349</v>
          </cell>
          <cell r="D350">
            <v>0</v>
          </cell>
        </row>
        <row r="351">
          <cell r="B351" t="str">
            <v/>
          </cell>
          <cell r="C351">
            <v>350</v>
          </cell>
          <cell r="D351">
            <v>0</v>
          </cell>
        </row>
        <row r="352">
          <cell r="B352" t="str">
            <v/>
          </cell>
          <cell r="C352">
            <v>351</v>
          </cell>
          <cell r="D352">
            <v>0</v>
          </cell>
        </row>
        <row r="353">
          <cell r="B353" t="str">
            <v/>
          </cell>
          <cell r="C353">
            <v>352</v>
          </cell>
          <cell r="D353">
            <v>0</v>
          </cell>
        </row>
        <row r="354">
          <cell r="B354" t="str">
            <v/>
          </cell>
          <cell r="C354">
            <v>353</v>
          </cell>
          <cell r="D354">
            <v>0</v>
          </cell>
        </row>
        <row r="355">
          <cell r="B355" t="str">
            <v/>
          </cell>
          <cell r="C355">
            <v>354</v>
          </cell>
          <cell r="D355">
            <v>0</v>
          </cell>
        </row>
        <row r="356">
          <cell r="B356" t="str">
            <v/>
          </cell>
          <cell r="C356">
            <v>355</v>
          </cell>
          <cell r="D356">
            <v>0</v>
          </cell>
        </row>
        <row r="357">
          <cell r="B357" t="str">
            <v/>
          </cell>
          <cell r="C357">
            <v>356</v>
          </cell>
          <cell r="D357">
            <v>0</v>
          </cell>
        </row>
        <row r="358">
          <cell r="B358" t="str">
            <v/>
          </cell>
          <cell r="C358">
            <v>357</v>
          </cell>
          <cell r="D358">
            <v>0</v>
          </cell>
        </row>
        <row r="359">
          <cell r="B359" t="str">
            <v/>
          </cell>
          <cell r="C359">
            <v>358</v>
          </cell>
          <cell r="D359">
            <v>0</v>
          </cell>
        </row>
        <row r="360">
          <cell r="B360" t="str">
            <v/>
          </cell>
          <cell r="C360">
            <v>359</v>
          </cell>
          <cell r="D360">
            <v>0</v>
          </cell>
        </row>
        <row r="361">
          <cell r="B361" t="str">
            <v/>
          </cell>
          <cell r="D361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H2" t="str">
            <v>A</v>
          </cell>
        </row>
      </sheetData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</sheetNames>
    <sheetDataSet>
      <sheetData sheetId="0"/>
      <sheetData sheetId="1"/>
      <sheetData sheetId="2"/>
      <sheetData sheetId="3">
        <row r="5">
          <cell r="B5" t="str">
            <v>bs_handle_product_line</v>
          </cell>
          <cell r="C5" t="str">
            <v>bs_handle_model</v>
          </cell>
          <cell r="D5" t="str">
            <v>bs_handle_model2</v>
          </cell>
          <cell r="E5" t="str">
            <v>bs_handle_model3</v>
          </cell>
          <cell r="F5" t="str">
            <v>gs_handle_type</v>
          </cell>
          <cell r="H5" t="str">
            <v>gs_handle_type2</v>
          </cell>
          <cell r="J5" t="str">
            <v>gs_handle_type3</v>
          </cell>
          <cell r="L5" t="str">
            <v>gs_handle_side3</v>
          </cell>
          <cell r="N5" t="str">
            <v>bs_handle_orientation</v>
          </cell>
          <cell r="P5" t="str">
            <v>bs_handle_orientation2</v>
          </cell>
          <cell r="R5" t="str">
            <v>bs_handle_orientation3</v>
          </cell>
          <cell r="T5" t="str">
            <v>bs_handle_material</v>
          </cell>
          <cell r="V5" t="str">
            <v>bs_handle_material2</v>
          </cell>
          <cell r="X5" t="str">
            <v>bs_handle_material3</v>
          </cell>
          <cell r="Z5" t="str">
            <v>bs_handle_surface</v>
          </cell>
          <cell r="AB5" t="str">
            <v>bs_handle_surface2</v>
          </cell>
          <cell r="AD5" t="str">
            <v>bs_handle_surface3</v>
          </cell>
          <cell r="AF5" t="str">
            <v>bs_doorplate1</v>
          </cell>
          <cell r="AG5" t="str">
            <v>bs_doorplate2</v>
          </cell>
          <cell r="AH5" t="str">
            <v>bs_doorplate3</v>
          </cell>
          <cell r="AI5" t="str">
            <v>bs_closure1</v>
          </cell>
          <cell r="AK5" t="str">
            <v>bs_closure2</v>
          </cell>
          <cell r="AM5" t="str">
            <v>bs_closure3</v>
          </cell>
          <cell r="AO5" t="str">
            <v>bs_doorplate_material1</v>
          </cell>
          <cell r="AQ5" t="str">
            <v>bs_doorplate_material2</v>
          </cell>
          <cell r="AS5" t="str">
            <v>bs_doorplate_material3</v>
          </cell>
          <cell r="AU5" t="str">
            <v>bs_doorplate_surface1</v>
          </cell>
          <cell r="AW5" t="str">
            <v>bs_doorplate_surface2</v>
          </cell>
          <cell r="AY5" t="str">
            <v>bs_doorplate_surface3</v>
          </cell>
          <cell r="BA5" t="str">
            <v>empty</v>
          </cell>
          <cell r="BB5" t="str">
            <v>gs_han_height</v>
          </cell>
          <cell r="BC5" t="str">
            <v>gs_han_height2</v>
          </cell>
          <cell r="BD5" t="str">
            <v>empty</v>
          </cell>
          <cell r="BE5" t="str">
            <v>empty</v>
          </cell>
          <cell r="BF5" t="str">
            <v>empty</v>
          </cell>
          <cell r="BG5" t="str">
            <v>empty</v>
          </cell>
          <cell r="BH5" t="str">
            <v>empty</v>
          </cell>
          <cell r="BI5" t="str">
            <v>empty</v>
          </cell>
          <cell r="BJ5" t="str">
            <v>empty</v>
          </cell>
          <cell r="BK5" t="str">
            <v>empty</v>
          </cell>
          <cell r="BL5" t="str">
            <v>empty</v>
          </cell>
          <cell r="BM5" t="str">
            <v>empty</v>
          </cell>
          <cell r="BN5" t="str">
            <v>empty</v>
          </cell>
          <cell r="BO5" t="str">
            <v>empty</v>
          </cell>
          <cell r="BP5" t="str">
            <v>empty</v>
          </cell>
          <cell r="BQ5" t="str">
            <v>empty</v>
          </cell>
          <cell r="BR5" t="str">
            <v>empty</v>
          </cell>
          <cell r="BS5" t="str">
            <v>empty</v>
          </cell>
          <cell r="BT5" t="str">
            <v>empty</v>
          </cell>
          <cell r="BU5" t="str">
            <v>empty</v>
          </cell>
          <cell r="BV5" t="str">
            <v>empty</v>
          </cell>
          <cell r="BW5" t="str">
            <v>empty</v>
          </cell>
          <cell r="BX5" t="str">
            <v>empty</v>
          </cell>
          <cell r="BY5" t="str">
            <v>empty</v>
          </cell>
          <cell r="BZ5" t="str">
            <v>empty</v>
          </cell>
          <cell r="CA5" t="str">
            <v>empty</v>
          </cell>
          <cell r="CB5" t="str">
            <v>empty</v>
          </cell>
          <cell r="CC5" t="str">
            <v>empty</v>
          </cell>
          <cell r="CD5" t="str">
            <v>empty</v>
          </cell>
          <cell r="CE5" t="str">
            <v>empty</v>
          </cell>
          <cell r="CF5" t="str">
            <v>empty</v>
          </cell>
          <cell r="CG5" t="str">
            <v>empty</v>
          </cell>
          <cell r="CH5" t="str">
            <v>empty</v>
          </cell>
          <cell r="CI5" t="str">
            <v>empty</v>
          </cell>
          <cell r="CJ5" t="str">
            <v>empty</v>
          </cell>
          <cell r="CK5" t="str">
            <v>empty</v>
          </cell>
          <cell r="CL5" t="str">
            <v>empty</v>
          </cell>
          <cell r="CM5" t="str">
            <v>empty</v>
          </cell>
          <cell r="CN5" t="str">
            <v>empty</v>
          </cell>
          <cell r="CO5" t="str">
            <v>empty</v>
          </cell>
          <cell r="CP5" t="str">
            <v>empty</v>
          </cell>
          <cell r="CQ5" t="str">
            <v>empty</v>
          </cell>
          <cell r="CR5" t="str">
            <v>empty</v>
          </cell>
          <cell r="CS5" t="str">
            <v>empty</v>
          </cell>
          <cell r="CT5" t="str">
            <v>empty</v>
          </cell>
          <cell r="CU5" t="str">
            <v>empty</v>
          </cell>
          <cell r="CV5" t="str">
            <v>empty</v>
          </cell>
          <cell r="CW5" t="str">
            <v>dk_dlg_subset</v>
          </cell>
          <cell r="CX5" t="str">
            <v>develop</v>
          </cell>
          <cell r="CY5" t="str">
            <v>&lt; INSERT COLUMNS LEFT "INSIDE"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0"/>
  <sheetViews>
    <sheetView tabSelected="1" zoomScaleNormal="100" workbookViewId="0">
      <selection activeCell="B1" sqref="B1:C1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" style="3" customWidth="1"/>
    <col min="6" max="6" width="138.33203125" style="3" customWidth="1"/>
    <col min="7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48" t="s">
        <v>1168</v>
      </c>
      <c r="C1" s="248"/>
      <c r="D1" s="4"/>
    </row>
    <row r="2" spans="1:8" ht="15" customHeight="1" x14ac:dyDescent="0.3">
      <c r="A2" s="1"/>
      <c r="B2" s="65"/>
      <c r="C2" s="66"/>
      <c r="D2" s="4"/>
      <c r="E2" s="4"/>
      <c r="F2" s="4"/>
      <c r="G2" s="4"/>
      <c r="H2" s="4"/>
    </row>
    <row r="3" spans="1:8" ht="35.25" customHeight="1" x14ac:dyDescent="0.3">
      <c r="A3" s="1" t="s">
        <v>158</v>
      </c>
      <c r="B3" s="247" t="s">
        <v>1171</v>
      </c>
      <c r="C3" s="110"/>
      <c r="D3" s="6"/>
      <c r="E3" s="6"/>
      <c r="F3" s="6"/>
      <c r="G3" s="6"/>
      <c r="H3" s="6"/>
    </row>
    <row r="4" spans="1:8" ht="35.25" customHeight="1" x14ac:dyDescent="0.3">
      <c r="A4" s="1" t="s">
        <v>1</v>
      </c>
      <c r="B4" s="249" t="s">
        <v>1169</v>
      </c>
      <c r="C4" s="249"/>
      <c r="D4" s="4"/>
    </row>
    <row r="5" spans="1:8" ht="35.25" customHeight="1" x14ac:dyDescent="0.3">
      <c r="A5" s="1" t="s">
        <v>96</v>
      </c>
      <c r="B5" s="250" t="s">
        <v>1170</v>
      </c>
      <c r="C5" s="250"/>
      <c r="D5" s="4"/>
    </row>
    <row r="6" spans="1:8" ht="35.25" customHeight="1" x14ac:dyDescent="0.3">
      <c r="A6" s="1" t="s">
        <v>2</v>
      </c>
      <c r="B6" s="251">
        <v>45908</v>
      </c>
      <c r="C6" s="251"/>
      <c r="D6" s="4"/>
    </row>
    <row r="7" spans="1:8" ht="35.25" customHeight="1" x14ac:dyDescent="0.3">
      <c r="A7" s="1" t="s">
        <v>3</v>
      </c>
      <c r="B7" s="249">
        <v>28</v>
      </c>
      <c r="C7" s="249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8" ht="35.25" customHeight="1" x14ac:dyDescent="0.3">
      <c r="A8" s="1" t="s">
        <v>4</v>
      </c>
      <c r="B8" s="249" t="str">
        <f>"max. "&amp;TEXT(ROWS(PARAMETERS!$A$2:$A$303),"0")&amp;" / "&amp;TEXT(ROWS(PARAMETERLISTE),"0")&amp;" (input/output GDL)"</f>
        <v>max. 302 / 302 (input/output GDL)</v>
      </c>
      <c r="C8" s="249"/>
      <c r="D8" s="4" t="s">
        <v>5</v>
      </c>
    </row>
    <row r="9" spans="1:8" ht="35.25" customHeight="1" x14ac:dyDescent="0.3">
      <c r="A9" s="1"/>
      <c r="B9" s="249" t="str">
        <f>TEXT(COUNTIF(PARAMETERS!$A$2:$A$303,"G"),"0")&amp;" (GDL) /  "&amp;TEXT(COUNTIF(PARAMETERS!$A$2:$A$303,"P"),"0")&amp;" (Properties)"</f>
        <v>264 (GDL) /  0 (Properties)</v>
      </c>
      <c r="C9" s="249"/>
      <c r="D9" s="4"/>
    </row>
    <row r="10" spans="1:8" ht="35.25" customHeight="1" x14ac:dyDescent="0.3">
      <c r="A10" s="1" t="s">
        <v>7</v>
      </c>
      <c r="B10" s="249" t="str">
        <f>"for max. "&amp;TEXT(ROWS(VALUESLIST),"0")&amp;" parameters"</f>
        <v>for max. 92 parameters</v>
      </c>
      <c r="C10" s="249"/>
      <c r="D10" s="4" t="s">
        <v>6</v>
      </c>
    </row>
    <row r="11" spans="1:8" ht="35.25" customHeight="1" x14ac:dyDescent="0.3">
      <c r="A11" s="1" t="s">
        <v>8</v>
      </c>
      <c r="B11" s="249" t="str">
        <f>"max. "&amp;TEXT(ROWS(VALUESval),"0")&amp;" items for value list (per parameter)"</f>
        <v>max. 91 items for value list (per parameter)</v>
      </c>
      <c r="C11" s="249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218"/>
      <c r="B13" s="217"/>
      <c r="C13" s="225" t="s">
        <v>153</v>
      </c>
      <c r="D13" s="225" t="s">
        <v>157</v>
      </c>
      <c r="E13" s="217"/>
      <c r="F13" s="225" t="s">
        <v>152</v>
      </c>
      <c r="G13" s="225"/>
    </row>
    <row r="14" spans="1:8" ht="24" customHeight="1" x14ac:dyDescent="0.3">
      <c r="A14" s="222" t="s">
        <v>1027</v>
      </c>
      <c r="B14" s="223" t="s">
        <v>1028</v>
      </c>
      <c r="C14" s="223"/>
      <c r="D14" s="223"/>
      <c r="E14" s="217"/>
      <c r="F14" s="226" t="s">
        <v>151</v>
      </c>
      <c r="G14" s="227"/>
    </row>
    <row r="15" spans="1:8" ht="24" customHeight="1" x14ac:dyDescent="0.3">
      <c r="A15" s="222"/>
      <c r="B15" s="223" t="s">
        <v>1029</v>
      </c>
      <c r="C15" s="223"/>
      <c r="D15" s="223"/>
      <c r="E15" s="217"/>
      <c r="F15" s="226" t="s">
        <v>140</v>
      </c>
      <c r="G15" s="220" t="s">
        <v>164</v>
      </c>
    </row>
    <row r="16" spans="1:8" ht="24" customHeight="1" x14ac:dyDescent="0.3">
      <c r="A16" s="222"/>
      <c r="B16" s="224" t="s">
        <v>1030</v>
      </c>
      <c r="C16" s="223"/>
      <c r="D16" s="217"/>
      <c r="E16" s="217"/>
      <c r="F16" s="229"/>
      <c r="G16" s="219"/>
    </row>
    <row r="17" spans="1:7" ht="24" customHeight="1" x14ac:dyDescent="0.3">
      <c r="A17" s="222"/>
      <c r="B17" s="223"/>
      <c r="C17" s="223"/>
      <c r="D17" s="223"/>
      <c r="E17" s="217"/>
      <c r="F17" s="226"/>
      <c r="G17" s="227"/>
    </row>
    <row r="18" spans="1:7" ht="24" customHeight="1" x14ac:dyDescent="0.3">
      <c r="A18" s="222" t="s">
        <v>1031</v>
      </c>
      <c r="B18" s="223" t="s">
        <v>156</v>
      </c>
      <c r="C18" s="223"/>
      <c r="D18" s="217"/>
      <c r="E18" s="217"/>
      <c r="F18" s="226" t="s">
        <v>165</v>
      </c>
      <c r="G18" s="227"/>
    </row>
    <row r="19" spans="1:7" ht="24" customHeight="1" x14ac:dyDescent="0.3">
      <c r="A19" s="222"/>
      <c r="B19" s="223" t="s">
        <v>155</v>
      </c>
      <c r="C19" s="223"/>
      <c r="D19" s="217"/>
      <c r="E19" s="217"/>
      <c r="F19" s="226" t="s">
        <v>184</v>
      </c>
      <c r="G19" s="227"/>
    </row>
    <row r="20" spans="1:7" ht="24" customHeight="1" x14ac:dyDescent="0.3">
      <c r="A20" s="222"/>
      <c r="B20" s="223" t="s">
        <v>154</v>
      </c>
      <c r="C20" s="223"/>
      <c r="D20" s="217"/>
      <c r="E20" s="217"/>
      <c r="F20" s="226" t="s">
        <v>166</v>
      </c>
      <c r="G20" s="227"/>
    </row>
    <row r="21" spans="1:7" ht="24" customHeight="1" x14ac:dyDescent="0.3">
      <c r="A21" s="222"/>
      <c r="B21" s="220"/>
      <c r="C21" s="223"/>
      <c r="D21" s="217"/>
      <c r="E21" s="217"/>
      <c r="F21" s="217"/>
      <c r="G21" s="217"/>
    </row>
    <row r="22" spans="1:7" ht="24" customHeight="1" x14ac:dyDescent="0.3">
      <c r="A22" s="222" t="s">
        <v>1032</v>
      </c>
      <c r="B22" s="223" t="s">
        <v>1033</v>
      </c>
      <c r="C22" s="223"/>
      <c r="D22" s="217"/>
      <c r="E22" s="217"/>
      <c r="F22" s="226" t="s">
        <v>167</v>
      </c>
      <c r="G22" s="219"/>
    </row>
    <row r="23" spans="1:7" ht="24" customHeight="1" x14ac:dyDescent="0.3">
      <c r="A23" s="222"/>
      <c r="B23" s="223" t="s">
        <v>1034</v>
      </c>
      <c r="C23" s="223"/>
      <c r="D23" s="221" t="s">
        <v>121</v>
      </c>
      <c r="E23" s="217"/>
      <c r="F23" s="228" t="s">
        <v>1173</v>
      </c>
      <c r="G23" s="217"/>
    </row>
    <row r="24" spans="1:7" ht="24" customHeight="1" x14ac:dyDescent="0.3">
      <c r="A24" s="222"/>
      <c r="B24" s="224"/>
      <c r="C24" s="223"/>
      <c r="D24" s="221" t="s">
        <v>121</v>
      </c>
      <c r="E24" s="217"/>
      <c r="F24" s="226"/>
      <c r="G24" s="227"/>
    </row>
    <row r="25" spans="1:7" ht="24" customHeight="1" x14ac:dyDescent="0.3">
      <c r="A25" s="222" t="s">
        <v>1035</v>
      </c>
      <c r="B25" s="224" t="s">
        <v>161</v>
      </c>
      <c r="C25" s="223"/>
      <c r="D25" s="221"/>
      <c r="E25" s="217"/>
      <c r="F25" s="226" t="s">
        <v>162</v>
      </c>
      <c r="G25" s="227"/>
    </row>
    <row r="26" spans="1:7" ht="24" customHeight="1" x14ac:dyDescent="0.3">
      <c r="A26" s="222"/>
      <c r="B26" s="224"/>
      <c r="C26" s="223"/>
      <c r="D26" s="221"/>
      <c r="E26" s="217"/>
      <c r="F26" s="226" t="s">
        <v>163</v>
      </c>
      <c r="G26" s="227"/>
    </row>
    <row r="27" spans="1:7" ht="24" customHeight="1" x14ac:dyDescent="0.3">
      <c r="A27" s="222"/>
      <c r="B27" s="224"/>
      <c r="C27" s="223"/>
      <c r="D27" s="221"/>
      <c r="E27" s="217"/>
      <c r="F27" s="226"/>
      <c r="G27" s="227"/>
    </row>
    <row r="28" spans="1:7" ht="24" customHeight="1" x14ac:dyDescent="0.3">
      <c r="A28" s="222" t="s">
        <v>1036</v>
      </c>
      <c r="B28" s="224" t="s">
        <v>1037</v>
      </c>
      <c r="C28" s="223"/>
      <c r="D28" s="221" t="s">
        <v>121</v>
      </c>
      <c r="E28" s="217"/>
      <c r="F28" s="226" t="s">
        <v>185</v>
      </c>
      <c r="G28" s="227"/>
    </row>
    <row r="29" spans="1:7" ht="24" customHeight="1" x14ac:dyDescent="0.25"/>
    <row r="30" spans="1:7" ht="24" customHeight="1" x14ac:dyDescent="0.25"/>
  </sheetData>
  <mergeCells count="9">
    <mergeCell ref="B1:C1"/>
    <mergeCell ref="B4:C4"/>
    <mergeCell ref="B11:C11"/>
    <mergeCell ref="B10:C10"/>
    <mergeCell ref="B8:C8"/>
    <mergeCell ref="B7:C7"/>
    <mergeCell ref="B9:C9"/>
    <mergeCell ref="B5:C5"/>
    <mergeCell ref="B6:C6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ExportParameterListButton">
          <controlPr print="0" autoLine="0" r:id="rId5">
            <anchor moveWithCells="1" sizeWithCells="1">
              <from>
                <xdr:col>3</xdr:col>
                <xdr:colOff>7620</xdr:colOff>
                <xdr:row>13</xdr:row>
                <xdr:rowOff>0</xdr:rowOff>
              </from>
              <to>
                <xdr:col>4</xdr:col>
                <xdr:colOff>7620</xdr:colOff>
                <xdr:row>14</xdr:row>
                <xdr:rowOff>0</xdr:rowOff>
              </to>
            </anchor>
          </controlPr>
        </control>
      </mc:Choice>
      <mc:Fallback>
        <control shapeId="2049" r:id="rId4" name="ExportParameterListButton"/>
      </mc:Fallback>
    </mc:AlternateContent>
    <mc:AlternateContent xmlns:mc="http://schemas.openxmlformats.org/markup-compatibility/2006">
      <mc:Choice Requires="x14">
        <control shapeId="2050" r:id="rId6" name="ExportValuesCommandsButton">
          <controlPr defaultSize="0" autoLine="0" r:id="rId7">
            <anchor moveWithCells="1" sizeWithCells="1">
              <from>
                <xdr:col>3</xdr:col>
                <xdr:colOff>7620</xdr:colOff>
                <xdr:row>17</xdr:row>
                <xdr:rowOff>0</xdr:rowOff>
              </from>
              <to>
                <xdr:col>4</xdr:col>
                <xdr:colOff>7620</xdr:colOff>
                <xdr:row>18</xdr:row>
                <xdr:rowOff>0</xdr:rowOff>
              </to>
            </anchor>
          </controlPr>
        </control>
      </mc:Choice>
      <mc:Fallback>
        <control shapeId="2050" r:id="rId6" name="ExportValuesCommandsButton"/>
      </mc:Fallback>
    </mc:AlternateContent>
    <mc:AlternateContent xmlns:mc="http://schemas.openxmlformats.org/markup-compatibility/2006">
      <mc:Choice Requires="x14">
        <control shapeId="2051" r:id="rId8" name="ExportValueListsForUserInterface">
          <controlPr defaultSize="0" autoLine="0" r:id="rId9">
            <anchor moveWithCells="1" sizeWithCells="1">
              <from>
                <xdr:col>3</xdr:col>
                <xdr:colOff>7620</xdr:colOff>
                <xdr:row>18</xdr:row>
                <xdr:rowOff>7620</xdr:rowOff>
              </from>
              <to>
                <xdr:col>4</xdr:col>
                <xdr:colOff>7620</xdr:colOff>
                <xdr:row>19</xdr:row>
                <xdr:rowOff>0</xdr:rowOff>
              </to>
            </anchor>
          </controlPr>
        </control>
      </mc:Choice>
      <mc:Fallback>
        <control shapeId="2051" r:id="rId8" name="ExportValueListsForUserInterface"/>
      </mc:Fallback>
    </mc:AlternateContent>
    <mc:AlternateContent xmlns:mc="http://schemas.openxmlformats.org/markup-compatibility/2006">
      <mc:Choice Requires="x14">
        <control shapeId="2052" r:id="rId10" name="ExportArchicadPropertiesButton">
          <controlPr defaultSize="0" autoLine="0" r:id="rId11">
            <anchor moveWithCells="1" sizeWithCells="1">
              <from>
                <xdr:col>3</xdr:col>
                <xdr:colOff>7620</xdr:colOff>
                <xdr:row>14</xdr:row>
                <xdr:rowOff>7620</xdr:rowOff>
              </from>
              <to>
                <xdr:col>4</xdr:col>
                <xdr:colOff>7620</xdr:colOff>
                <xdr:row>15</xdr:row>
                <xdr:rowOff>0</xdr:rowOff>
              </to>
            </anchor>
          </controlPr>
        </control>
      </mc:Choice>
      <mc:Fallback>
        <control shapeId="2052" r:id="rId10" name="ExportArchicadPropertiesButton"/>
      </mc:Fallback>
    </mc:AlternateContent>
    <mc:AlternateContent xmlns:mc="http://schemas.openxmlformats.org/markup-compatibility/2006">
      <mc:Choice Requires="x14">
        <control shapeId="2053" r:id="rId12" name="ExportArrayIndicesButton">
          <controlPr defaultSize="0" autoLine="0" r:id="rId13">
            <anchor moveWithCells="1" sizeWithCells="1">
              <from>
                <xdr:col>3</xdr:col>
                <xdr:colOff>15240</xdr:colOff>
                <xdr:row>19</xdr:row>
                <xdr:rowOff>0</xdr:rowOff>
              </from>
              <to>
                <xdr:col>4</xdr:col>
                <xdr:colOff>7620</xdr:colOff>
                <xdr:row>20</xdr:row>
                <xdr:rowOff>0</xdr:rowOff>
              </to>
            </anchor>
          </controlPr>
        </control>
      </mc:Choice>
      <mc:Fallback>
        <control shapeId="2053" r:id="rId12" name="ExportArrayIndicesButton"/>
      </mc:Fallback>
    </mc:AlternateContent>
    <mc:AlternateContent xmlns:mc="http://schemas.openxmlformats.org/markup-compatibility/2006">
      <mc:Choice Requires="x14">
        <control shapeId="2054" r:id="rId14" name="ExportMultilingualTextButton">
          <controlPr defaultSize="0" autoLine="0" r:id="rId15">
            <anchor moveWithCells="1" sizeWithCells="1">
              <from>
                <xdr:col>3</xdr:col>
                <xdr:colOff>7620</xdr:colOff>
                <xdr:row>21</xdr:row>
                <xdr:rowOff>7620</xdr:rowOff>
              </from>
              <to>
                <xdr:col>4</xdr:col>
                <xdr:colOff>7620</xdr:colOff>
                <xdr:row>22</xdr:row>
                <xdr:rowOff>0</xdr:rowOff>
              </to>
            </anchor>
          </controlPr>
        </control>
      </mc:Choice>
      <mc:Fallback>
        <control shapeId="2054" r:id="rId14" name="ExportMultilingualTextButton"/>
      </mc:Fallback>
    </mc:AlternateContent>
    <mc:AlternateContent xmlns:mc="http://schemas.openxmlformats.org/markup-compatibility/2006">
      <mc:Choice Requires="x14">
        <control shapeId="2055" r:id="rId16" name="ImportVariableTextButton">
          <controlPr print="0" autoLine="0" r:id="rId17">
            <anchor moveWithCells="1" sizeWithCells="1">
              <from>
                <xdr:col>3</xdr:col>
                <xdr:colOff>7620</xdr:colOff>
                <xdr:row>22</xdr:row>
                <xdr:rowOff>0</xdr:rowOff>
              </from>
              <to>
                <xdr:col>4</xdr:col>
                <xdr:colOff>7620</xdr:colOff>
                <xdr:row>23</xdr:row>
                <xdr:rowOff>0</xdr:rowOff>
              </to>
            </anchor>
          </controlPr>
        </control>
      </mc:Choice>
      <mc:Fallback>
        <control shapeId="2055" r:id="rId16" name="ImportVariableTextButton"/>
      </mc:Fallback>
    </mc:AlternateContent>
    <mc:AlternateContent xmlns:mc="http://schemas.openxmlformats.org/markup-compatibility/2006">
      <mc:Choice Requires="x14">
        <control shapeId="2056" r:id="rId18" name="ParseUserInterfaceButton">
          <controlPr print="0" autoLine="0" r:id="rId19">
            <anchor moveWithCells="1" sizeWithCells="1">
              <from>
                <xdr:col>3</xdr:col>
                <xdr:colOff>7620</xdr:colOff>
                <xdr:row>27</xdr:row>
                <xdr:rowOff>0</xdr:rowOff>
              </from>
              <to>
                <xdr:col>4</xdr:col>
                <xdr:colOff>7620</xdr:colOff>
                <xdr:row>28</xdr:row>
                <xdr:rowOff>0</xdr:rowOff>
              </to>
            </anchor>
          </controlPr>
        </control>
      </mc:Choice>
      <mc:Fallback>
        <control shapeId="2056" r:id="rId18" name="ParseUserInterfaceButton"/>
      </mc:Fallback>
    </mc:AlternateContent>
    <mc:AlternateContent xmlns:mc="http://schemas.openxmlformats.org/markup-compatibility/2006">
      <mc:Choice Requires="x14">
        <control shapeId="2057" r:id="rId20" name="IntegrateBitmapsButton">
          <controlPr print="0" autoLine="0" r:id="rId21">
            <anchor moveWithCells="1" sizeWithCells="1">
              <from>
                <xdr:col>3</xdr:col>
                <xdr:colOff>7620</xdr:colOff>
                <xdr:row>24</xdr:row>
                <xdr:rowOff>0</xdr:rowOff>
              </from>
              <to>
                <xdr:col>4</xdr:col>
                <xdr:colOff>7620</xdr:colOff>
                <xdr:row>25</xdr:row>
                <xdr:rowOff>0</xdr:rowOff>
              </to>
            </anchor>
          </controlPr>
        </control>
      </mc:Choice>
      <mc:Fallback>
        <control shapeId="2057" r:id="rId20" name="IntegrateBitmapsButton"/>
      </mc:Fallback>
    </mc:AlternateContent>
    <mc:AlternateContent xmlns:mc="http://schemas.openxmlformats.org/markup-compatibility/2006">
      <mc:Choice Requires="x14">
        <control shapeId="2058" r:id="rId22" name="CheckButton">
          <controlPr print="0" autoLine="0" r:id="rId23">
            <anchor moveWithCells="1" sizeWithCells="1">
              <from>
                <xdr:col>3</xdr:col>
                <xdr:colOff>7620</xdr:colOff>
                <xdr:row>15</xdr:row>
                <xdr:rowOff>0</xdr:rowOff>
              </from>
              <to>
                <xdr:col>4</xdr:col>
                <xdr:colOff>7620</xdr:colOff>
                <xdr:row>16</xdr:row>
                <xdr:rowOff>0</xdr:rowOff>
              </to>
            </anchor>
          </controlPr>
        </control>
      </mc:Choice>
      <mc:Fallback>
        <control shapeId="2058" r:id="rId22" name="Check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304"/>
  <sheetViews>
    <sheetView topLeftCell="O1" zoomScaleNormal="100" workbookViewId="0">
      <pane ySplit="2148" topLeftCell="A134" activePane="bottomLeft"/>
      <selection activeCell="Q1" sqref="Q1:Q1048576"/>
      <selection pane="bottomLeft" activeCell="W150" sqref="W150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3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80</v>
      </c>
      <c r="B1" s="30" t="s">
        <v>64</v>
      </c>
      <c r="C1" s="31" t="s">
        <v>65</v>
      </c>
      <c r="D1" s="207" t="s">
        <v>1008</v>
      </c>
      <c r="E1" s="30" t="s">
        <v>66</v>
      </c>
      <c r="F1" s="30" t="s">
        <v>67</v>
      </c>
      <c r="G1" s="30" t="s">
        <v>68</v>
      </c>
      <c r="H1" s="30" t="s">
        <v>69</v>
      </c>
      <c r="I1" s="30" t="s">
        <v>70</v>
      </c>
      <c r="J1" s="30" t="s">
        <v>71</v>
      </c>
      <c r="K1" s="39" t="s">
        <v>81</v>
      </c>
      <c r="L1" s="39" t="s">
        <v>12</v>
      </c>
      <c r="M1" s="39" t="s">
        <v>72</v>
      </c>
      <c r="N1" s="39" t="s">
        <v>131</v>
      </c>
      <c r="O1" s="40" t="s">
        <v>73</v>
      </c>
      <c r="P1" s="30" t="s">
        <v>74</v>
      </c>
      <c r="Q1" s="37" t="s">
        <v>75</v>
      </c>
      <c r="R1" s="30" t="s">
        <v>105</v>
      </c>
      <c r="S1" s="37" t="s">
        <v>108</v>
      </c>
      <c r="T1" s="37" t="s">
        <v>109</v>
      </c>
      <c r="U1" s="37" t="s">
        <v>76</v>
      </c>
      <c r="V1" s="32" t="s">
        <v>132</v>
      </c>
      <c r="W1" s="31"/>
      <c r="X1" s="31"/>
      <c r="Y1" s="32" t="s">
        <v>77</v>
      </c>
      <c r="Z1" s="57" t="s">
        <v>78</v>
      </c>
      <c r="AA1" s="58" t="s">
        <v>79</v>
      </c>
      <c r="AB1" s="58" t="s">
        <v>139</v>
      </c>
      <c r="AC1" s="21" t="s">
        <v>134</v>
      </c>
    </row>
    <row r="2" spans="1:30" x14ac:dyDescent="0.3">
      <c r="A2" s="22" t="s">
        <v>106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IF(OR($M2="",NOT($O2="{array}")),"",IFERROR(MATCH(PARAMETERS!$M2,DEFAULT!$B$5:$BZ$5,0),""))</f>
        <v/>
      </c>
      <c r="AA2" s="56" t="str">
        <f t="shared" ref="AA2:AA65" si="0"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83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85</v>
      </c>
      <c r="N3" s="14" t="s">
        <v>91</v>
      </c>
      <c r="O3" s="43">
        <v>2</v>
      </c>
      <c r="Q3" s="38" t="s">
        <v>9</v>
      </c>
      <c r="R3" s="38"/>
      <c r="S3" s="38" t="s">
        <v>111</v>
      </c>
      <c r="T3" s="38"/>
      <c r="W3" s="15"/>
      <c r="Z3" s="59" t="str">
        <f>IF(OR($M3="",NOT($O3="{array}")),"",IFERROR(MATCH(PARAMETERS!$M3,DEFAULT!$B$5:$BZ$5,0),""))</f>
        <v/>
      </c>
      <c r="AA3" s="56" t="str">
        <f t="shared" si="0"/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IF($AA3="","",IF($B3="I",VLOOKUP($AA3,#REF!,53,0),INDEX(VALUES!$B$1:$AO$1,1,$AA3)))</f>
        <v/>
      </c>
    </row>
    <row r="4" spans="1:30" hidden="1" outlineLevel="1" x14ac:dyDescent="0.3">
      <c r="A4" s="22" t="s">
        <v>83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92</v>
      </c>
      <c r="O4" s="43">
        <v>2</v>
      </c>
      <c r="Q4" s="38" t="s">
        <v>9</v>
      </c>
      <c r="R4" s="38"/>
      <c r="S4" s="38" t="s">
        <v>111</v>
      </c>
      <c r="T4" s="38"/>
      <c r="W4" s="15"/>
      <c r="Z4" s="59" t="str">
        <f>IF(OR($M4="",NOT($O4="{array}")),"",IFERROR(MATCH(PARAMETERS!$M4,DEFAULT!$B$5:$BZ$5,0),""))</f>
        <v/>
      </c>
      <c r="AA4" s="56" t="str">
        <f t="shared" si="0"/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IF($AA4="","",IF($B4="I",VLOOKUP($AA4,#REF!,53,0),INDEX(VALUES!$B$1:$AO$1,1,$AA4)))</f>
        <v/>
      </c>
      <c r="AD4" s="63"/>
    </row>
    <row r="5" spans="1:30" hidden="1" outlineLevel="1" x14ac:dyDescent="0.3">
      <c r="A5" s="22" t="s">
        <v>83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89</v>
      </c>
      <c r="N5" s="14" t="s">
        <v>93</v>
      </c>
      <c r="O5" s="43">
        <v>1</v>
      </c>
      <c r="Q5" s="38" t="s">
        <v>9</v>
      </c>
      <c r="R5" s="38" t="s">
        <v>103</v>
      </c>
      <c r="S5" s="38"/>
      <c r="T5" s="38"/>
      <c r="W5" s="15"/>
      <c r="Z5" s="59" t="str">
        <f>IF(OR($M5="",NOT($O5="{array}")),"",IFERROR(MATCH(PARAMETERS!$M5,DEFAULT!$B$5:$BZ$5,0),""))</f>
        <v/>
      </c>
      <c r="AA5" s="56" t="str">
        <f t="shared" si="0"/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IF($AA5="","",IF($B5="I",VLOOKUP($AA5,#REF!,53,0),INDEX(VALUES!$B$1:$AO$1,1,$AA5)))</f>
        <v/>
      </c>
    </row>
    <row r="6" spans="1:30" collapsed="1" x14ac:dyDescent="0.3">
      <c r="A6" s="22" t="s">
        <v>285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/>
      <c r="Z6" s="59" t="str">
        <f>IF(OR($M6="",NOT($O6="{array}")),"",IFERROR(MATCH(PARAMETERS!$M6,DEFAULT!$B$5:$BZ$5,0),""))</f>
        <v/>
      </c>
      <c r="AA6" s="56" t="str">
        <f t="shared" si="0"/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IF($AA6="","",IF($B6="I",VLOOKUP($AA6,#REF!,53,0),INDEX(VALUES!$B$1:$AO$1,1,$AA6)))</f>
        <v/>
      </c>
    </row>
    <row r="7" spans="1:30" x14ac:dyDescent="0.3">
      <c r="A7" s="22"/>
      <c r="B7" s="41" t="str">
        <f t="shared" ref="B7:B62" si="1">IF($A7="P",IF(NOT($Z7=""),"A",IF(NOT($AA7=""),"I","")),IF(NOT($AA7=""),IF($A7="G","V","X"),IF(NOT($Z7=""),"A","")))</f>
        <v/>
      </c>
      <c r="C7" s="42">
        <f t="shared" ref="C7:C62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286</v>
      </c>
      <c r="N7" s="41" t="s">
        <v>287</v>
      </c>
      <c r="R7" s="38" t="s">
        <v>197</v>
      </c>
      <c r="S7" s="38"/>
      <c r="T7" s="38"/>
      <c r="W7" s="15"/>
      <c r="Y7" s="53"/>
      <c r="Z7" s="59" t="str">
        <f>IF(OR($M7="",NOT($O7="{array}")),"",IFERROR(MATCH(PARAMETERS!$M7,DEFAULT!$B$5:$BZ$5,0),""))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IF($AA7="","",IF($B7="I",VLOOKUP($AA7,#REF!,53,0),INDEX(VALUES!$B$1:$AO$1,1,$AA7)))</f>
        <v/>
      </c>
    </row>
    <row r="8" spans="1:30" hidden="1" outlineLevel="1" x14ac:dyDescent="0.3">
      <c r="A8" s="22" t="s">
        <v>83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81" t="s">
        <v>288</v>
      </c>
      <c r="N8" s="14" t="s">
        <v>289</v>
      </c>
      <c r="O8" s="43">
        <v>0</v>
      </c>
      <c r="R8" s="38" t="s">
        <v>197</v>
      </c>
      <c r="S8" s="38" t="s">
        <v>111</v>
      </c>
      <c r="T8" s="38"/>
      <c r="V8" s="14" t="s">
        <v>289</v>
      </c>
      <c r="W8" s="15"/>
      <c r="Y8" s="53" t="s">
        <v>290</v>
      </c>
      <c r="Z8" s="59" t="str">
        <f>IF(OR($M8="",NOT($O8="{array}")),"",IFERROR(MATCH(PARAMETERS!$M8,DEFAULT!$B$5:$BZ$5,0),""))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IF($AA8="","",IF($B8="I",VLOOKUP($AA8,#REF!,53,0),INDEX(VALUES!$B$1:$AO$1,1,$AA8)))</f>
        <v/>
      </c>
    </row>
    <row r="9" spans="1:30" hidden="1" outlineLevel="1" x14ac:dyDescent="0.3">
      <c r="A9" s="22" t="s">
        <v>83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81" t="s">
        <v>291</v>
      </c>
      <c r="N9" s="14" t="s">
        <v>292</v>
      </c>
      <c r="O9" s="43">
        <v>0</v>
      </c>
      <c r="R9" s="38" t="s">
        <v>197</v>
      </c>
      <c r="S9" s="38" t="s">
        <v>111</v>
      </c>
      <c r="T9" s="38"/>
      <c r="V9" s="14" t="s">
        <v>292</v>
      </c>
      <c r="W9" s="15"/>
      <c r="Y9" s="53" t="s">
        <v>290</v>
      </c>
      <c r="Z9" s="59" t="str">
        <f>IF(OR($M9="",NOT($O9="{array}")),"",IFERROR(MATCH(PARAMETERS!$M9,DEFAULT!$B$5:$BZ$5,0),""))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IF($AA9="","",IF($B9="I",VLOOKUP($AA9,#REF!,53,0),INDEX(VALUES!$B$1:$AO$1,1,$AA9)))</f>
        <v/>
      </c>
    </row>
    <row r="10" spans="1:30" hidden="1" outlineLevel="1" x14ac:dyDescent="0.3">
      <c r="A10" s="22" t="s">
        <v>83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81" t="s">
        <v>293</v>
      </c>
      <c r="N10" s="14" t="s">
        <v>294</v>
      </c>
      <c r="O10" s="43">
        <v>0</v>
      </c>
      <c r="R10" s="38" t="s">
        <v>197</v>
      </c>
      <c r="S10" s="38" t="s">
        <v>111</v>
      </c>
      <c r="T10" s="38"/>
      <c r="V10" s="14" t="s">
        <v>294</v>
      </c>
      <c r="W10" s="15"/>
      <c r="Y10" s="53" t="s">
        <v>290</v>
      </c>
      <c r="Z10" s="59" t="str">
        <f>IF(OR($M10="",NOT($O10="{array}")),"",IFERROR(MATCH(PARAMETERS!$M10,DEFAULT!$B$5:$BZ$5,0),""))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IF($AA10="","",IF($B10="I",VLOOKUP($AA10,#REF!,53,0),INDEX(VALUES!$B$1:$AO$1,1,$AA10)))</f>
        <v/>
      </c>
    </row>
    <row r="11" spans="1:30" hidden="1" outlineLevel="1" x14ac:dyDescent="0.3">
      <c r="A11" s="22" t="s">
        <v>83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81" t="s">
        <v>295</v>
      </c>
      <c r="N11" s="14" t="s">
        <v>296</v>
      </c>
      <c r="O11" s="43">
        <v>0</v>
      </c>
      <c r="R11" s="38" t="s">
        <v>197</v>
      </c>
      <c r="S11" s="38" t="s">
        <v>111</v>
      </c>
      <c r="T11" s="38"/>
      <c r="V11" s="14" t="s">
        <v>297</v>
      </c>
      <c r="W11" s="15"/>
      <c r="Y11" s="53" t="s">
        <v>290</v>
      </c>
      <c r="Z11" s="59" t="str">
        <f>IF(OR($M11="",NOT($O11="{array}")),"",IFERROR(MATCH(PARAMETERS!$M11,DEFAULT!$B$5:$BZ$5,0),""))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IF($AA11="","",IF($B11="I",VLOOKUP($AA11,#REF!,53,0),INDEX(VALUES!$B$1:$AO$1,1,$AA11)))</f>
        <v/>
      </c>
    </row>
    <row r="12" spans="1:30" hidden="1" outlineLevel="1" x14ac:dyDescent="0.3">
      <c r="A12" s="22" t="s">
        <v>83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81" t="s">
        <v>298</v>
      </c>
      <c r="N12" s="14" t="s">
        <v>299</v>
      </c>
      <c r="O12" s="43">
        <v>0</v>
      </c>
      <c r="R12" s="38" t="s">
        <v>197</v>
      </c>
      <c r="S12" s="38" t="s">
        <v>111</v>
      </c>
      <c r="T12" s="38"/>
      <c r="V12" s="14" t="s">
        <v>299</v>
      </c>
      <c r="W12" s="15"/>
      <c r="Y12" s="53" t="s">
        <v>290</v>
      </c>
      <c r="Z12" s="59" t="str">
        <f>IF(OR($M12="",NOT($O12="{array}")),"",IFERROR(MATCH(PARAMETERS!$M12,DEFAULT!$B$5:$BZ$5,0),""))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IF($AA12="","",IF($B12="I",VLOOKUP($AA12,#REF!,53,0),INDEX(VALUES!$B$1:$AO$1,1,$AA12)))</f>
        <v/>
      </c>
    </row>
    <row r="13" spans="1:30" hidden="1" outlineLevel="1" x14ac:dyDescent="0.3">
      <c r="A13" s="22" t="s">
        <v>83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81" t="s">
        <v>300</v>
      </c>
      <c r="N13" s="14" t="s">
        <v>301</v>
      </c>
      <c r="O13" s="43">
        <v>0</v>
      </c>
      <c r="R13" s="38" t="s">
        <v>197</v>
      </c>
      <c r="S13" s="38" t="s">
        <v>111</v>
      </c>
      <c r="T13" s="38"/>
      <c r="V13" s="14" t="s">
        <v>302</v>
      </c>
      <c r="W13" s="15"/>
      <c r="Y13" s="53" t="s">
        <v>290</v>
      </c>
      <c r="Z13" s="59" t="str">
        <f>IF(OR($M13="",NOT($O13="{array}")),"",IFERROR(MATCH(PARAMETERS!$M13,DEFAULT!$B$5:$BZ$5,0),""))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IF($AA13="","",IF($B13="I",VLOOKUP($AA13,#REF!,53,0),INDEX(VALUES!$B$1:$AO$1,1,$AA13)))</f>
        <v/>
      </c>
    </row>
    <row r="14" spans="1:30" hidden="1" outlineLevel="1" x14ac:dyDescent="0.3">
      <c r="A14" s="22" t="s">
        <v>83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81" t="s">
        <v>303</v>
      </c>
      <c r="N14" s="14" t="s">
        <v>304</v>
      </c>
      <c r="O14" s="43">
        <v>0</v>
      </c>
      <c r="R14" s="38" t="s">
        <v>197</v>
      </c>
      <c r="S14" s="38" t="s">
        <v>111</v>
      </c>
      <c r="T14" s="38"/>
      <c r="V14" s="14" t="s">
        <v>305</v>
      </c>
      <c r="W14" s="15"/>
      <c r="Y14" s="53" t="s">
        <v>290</v>
      </c>
      <c r="Z14" s="59" t="str">
        <f>IF(OR($M14="",NOT($O14="{array}")),"",IFERROR(MATCH(PARAMETERS!$M14,DEFAULT!$B$5:$BZ$5,0),""))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IF($AA14="","",IF($B14="I",VLOOKUP($AA14,#REF!,53,0),INDEX(VALUES!$B$1:$AO$1,1,$AA14)))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213" t="s">
        <v>306</v>
      </c>
      <c r="N15" s="41" t="s">
        <v>307</v>
      </c>
      <c r="R15" s="38" t="s">
        <v>197</v>
      </c>
      <c r="S15" s="38"/>
      <c r="T15" s="15"/>
      <c r="W15" s="15"/>
      <c r="Z15" s="59" t="str">
        <f>IF(OR($M15="",NOT($O15="{array}")),"",IFERROR(MATCH(PARAMETERS!$M15,DEFAULT!$B$5:$BZ$5,0),""))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IF($AA15="","",IF($B15="I",VLOOKUP($AA15,#REF!,53,0),INDEX(VALUES!$B$1:$AO$1,1,$AA15)))</f>
        <v/>
      </c>
    </row>
    <row r="16" spans="1:30" hidden="1" outlineLevel="1" x14ac:dyDescent="0.25">
      <c r="A16" s="22" t="s">
        <v>83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81" t="s">
        <v>308</v>
      </c>
      <c r="N16" s="159" t="s">
        <v>94</v>
      </c>
      <c r="O16" s="160" t="s">
        <v>133</v>
      </c>
      <c r="P16" s="161" t="s">
        <v>309</v>
      </c>
      <c r="Q16" s="163" t="s">
        <v>9</v>
      </c>
      <c r="R16" s="163" t="s">
        <v>102</v>
      </c>
      <c r="S16" s="163" t="s">
        <v>111</v>
      </c>
      <c r="T16" s="164" t="s">
        <v>310</v>
      </c>
      <c r="U16" s="164"/>
      <c r="V16" s="164" t="s">
        <v>112</v>
      </c>
      <c r="W16" s="165"/>
      <c r="X16" s="166"/>
      <c r="Y16" s="164" t="s">
        <v>311</v>
      </c>
      <c r="Z16" s="59" t="str">
        <f>IF(OR($M16="",NOT($O16="{array}")),"",IFERROR(MATCH(PARAMETERS!$M16,DEFAULT!$B$5:$BZ$5,0),""))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IF($AA16="","",IF($B16="I",VLOOKUP($AA16,#REF!,53,0),INDEX(VALUES!$B$1:$AO$1,1,$AA16)))</f>
        <v/>
      </c>
    </row>
    <row r="17" spans="1:29" hidden="1" outlineLevel="1" x14ac:dyDescent="0.25">
      <c r="A17" s="22" t="s">
        <v>83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7" t="s">
        <v>18</v>
      </c>
      <c r="L17" s="168" t="s">
        <v>32</v>
      </c>
      <c r="M17" s="181" t="s">
        <v>312</v>
      </c>
      <c r="N17" s="169" t="s">
        <v>313</v>
      </c>
      <c r="O17" s="160" t="s">
        <v>133</v>
      </c>
      <c r="P17" s="161" t="s">
        <v>309</v>
      </c>
      <c r="Q17" s="163" t="s">
        <v>9</v>
      </c>
      <c r="R17" s="163" t="s">
        <v>102</v>
      </c>
      <c r="S17" s="163" t="s">
        <v>111</v>
      </c>
      <c r="T17" s="164" t="s">
        <v>310</v>
      </c>
      <c r="U17" s="164"/>
      <c r="V17" s="164" t="s">
        <v>313</v>
      </c>
      <c r="W17" s="165"/>
      <c r="X17" s="166"/>
      <c r="Y17" s="164" t="s">
        <v>314</v>
      </c>
      <c r="Z17" s="59" t="str">
        <f>IF(OR($M17="",NOT($O17="{array}")),"",IFERROR(MATCH(PARAMETERS!$M17,DEFAULT!$B$5:$BZ$5,0),""))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IF($AA17="","",IF($B17="I",VLOOKUP($AA17,#REF!,53,0),INDEX(VALUES!$B$1:$AO$1,1,$AA17)))</f>
        <v/>
      </c>
    </row>
    <row r="18" spans="1:29" hidden="1" outlineLevel="1" x14ac:dyDescent="0.25">
      <c r="A18" s="22" t="s">
        <v>83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81" t="s">
        <v>315</v>
      </c>
      <c r="N18" s="159" t="s">
        <v>316</v>
      </c>
      <c r="O18" s="160" t="s">
        <v>133</v>
      </c>
      <c r="P18" s="161" t="s">
        <v>309</v>
      </c>
      <c r="Q18" s="163" t="s">
        <v>9</v>
      </c>
      <c r="R18" s="163" t="s">
        <v>102</v>
      </c>
      <c r="S18" s="163" t="s">
        <v>111</v>
      </c>
      <c r="T18" s="164" t="s">
        <v>101</v>
      </c>
      <c r="U18" s="164"/>
      <c r="V18" s="164" t="s">
        <v>316</v>
      </c>
      <c r="W18" s="165"/>
      <c r="X18" s="166"/>
      <c r="Y18" s="164" t="s">
        <v>317</v>
      </c>
      <c r="Z18" s="59" t="str">
        <f>IF(OR($M18="",NOT($O18="{array}")),"",IFERROR(MATCH(PARAMETERS!$M18,DEFAULT!$B$5:$BZ$5,0),""))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IF($AA18="","",IF($B18="I",VLOOKUP($AA18,#REF!,53,0),INDEX(VALUES!$B$1:$AO$1,1,$AA18)))</f>
        <v/>
      </c>
    </row>
    <row r="19" spans="1:29" hidden="1" outlineLevel="1" x14ac:dyDescent="0.25">
      <c r="A19" s="22" t="s">
        <v>83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81" t="s">
        <v>318</v>
      </c>
      <c r="N19" s="159" t="s">
        <v>319</v>
      </c>
      <c r="O19" s="160" t="s">
        <v>133</v>
      </c>
      <c r="P19" s="161" t="s">
        <v>309</v>
      </c>
      <c r="Q19" s="163" t="s">
        <v>9</v>
      </c>
      <c r="R19" s="163" t="s">
        <v>102</v>
      </c>
      <c r="S19" s="163" t="s">
        <v>111</v>
      </c>
      <c r="T19" s="164" t="s">
        <v>309</v>
      </c>
      <c r="U19" s="164"/>
      <c r="V19" s="164" t="s">
        <v>320</v>
      </c>
      <c r="W19" s="165"/>
      <c r="X19" s="166"/>
      <c r="Y19" s="164" t="s">
        <v>321</v>
      </c>
      <c r="Z19" s="59" t="str">
        <f>IF(OR($M19="",NOT($O19="{array}")),"",IFERROR(MATCH(PARAMETERS!$M19,DEFAULT!$B$5:$BZ$5,0),""))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IF($AA19="","",IF($B19="I",VLOOKUP($AA19,#REF!,53,0),INDEX(VALUES!$B$1:$AO$1,1,$AA19)))</f>
        <v/>
      </c>
    </row>
    <row r="20" spans="1:29" hidden="1" outlineLevel="1" x14ac:dyDescent="0.25">
      <c r="A20" s="22" t="s">
        <v>83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7" t="s">
        <v>18</v>
      </c>
      <c r="L20" s="168" t="s">
        <v>32</v>
      </c>
      <c r="M20" s="181" t="s">
        <v>322</v>
      </c>
      <c r="N20" s="169" t="s">
        <v>323</v>
      </c>
      <c r="O20" s="160" t="s">
        <v>133</v>
      </c>
      <c r="P20" s="161" t="s">
        <v>309</v>
      </c>
      <c r="Q20" s="163" t="s">
        <v>9</v>
      </c>
      <c r="R20" s="163" t="s">
        <v>102</v>
      </c>
      <c r="S20" s="163" t="s">
        <v>111</v>
      </c>
      <c r="T20" s="164" t="s">
        <v>309</v>
      </c>
      <c r="U20" s="164"/>
      <c r="V20" s="164" t="s">
        <v>323</v>
      </c>
      <c r="W20" s="165"/>
      <c r="X20" s="166"/>
      <c r="Y20" s="164" t="s">
        <v>324</v>
      </c>
      <c r="Z20" s="59" t="str">
        <f>IF(OR($M20="",NOT($O20="{array}")),"",IFERROR(MATCH(PARAMETERS!$M20,DEFAULT!$B$5:$BZ$5,0),""))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IF($AA20="","",IF($B20="I",VLOOKUP($AA20,#REF!,53,0),INDEX(VALUES!$B$1:$AO$1,1,$AA20)))</f>
        <v/>
      </c>
    </row>
    <row r="21" spans="1:29" hidden="1" outlineLevel="1" x14ac:dyDescent="0.25">
      <c r="A21" s="22" t="s">
        <v>83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7" t="s">
        <v>18</v>
      </c>
      <c r="L21" s="168" t="s">
        <v>32</v>
      </c>
      <c r="M21" s="181" t="s">
        <v>325</v>
      </c>
      <c r="N21" s="169" t="s">
        <v>326</v>
      </c>
      <c r="O21" s="160" t="s">
        <v>133</v>
      </c>
      <c r="P21" s="161" t="s">
        <v>309</v>
      </c>
      <c r="Q21" s="163" t="s">
        <v>9</v>
      </c>
      <c r="R21" s="163" t="s">
        <v>102</v>
      </c>
      <c r="S21" s="163" t="s">
        <v>111</v>
      </c>
      <c r="T21" s="164" t="s">
        <v>309</v>
      </c>
      <c r="U21" s="164"/>
      <c r="V21" s="164" t="s">
        <v>326</v>
      </c>
      <c r="W21" s="165"/>
      <c r="X21" s="166"/>
      <c r="Y21" s="164" t="s">
        <v>327</v>
      </c>
      <c r="Z21" s="59" t="str">
        <f>IF(OR($M21="",NOT($O21="{array}")),"",IFERROR(MATCH(PARAMETERS!$M21,DEFAULT!$B$5:$BZ$5,0),""))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IF($AA21="","",IF($B21="I",VLOOKUP($AA21,#REF!,53,0),INDEX(VALUES!$B$1:$AO$1,1,$AA21)))</f>
        <v/>
      </c>
    </row>
    <row r="22" spans="1:29" hidden="1" outlineLevel="1" x14ac:dyDescent="0.25">
      <c r="A22" s="22" t="s">
        <v>83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7" t="s">
        <v>18</v>
      </c>
      <c r="L22" s="168" t="s">
        <v>32</v>
      </c>
      <c r="M22" s="181" t="s">
        <v>328</v>
      </c>
      <c r="N22" s="169" t="s">
        <v>329</v>
      </c>
      <c r="O22" s="160" t="s">
        <v>133</v>
      </c>
      <c r="P22" s="161" t="s">
        <v>309</v>
      </c>
      <c r="Q22" s="163" t="s">
        <v>9</v>
      </c>
      <c r="R22" s="163" t="s">
        <v>102</v>
      </c>
      <c r="S22" s="163" t="s">
        <v>111</v>
      </c>
      <c r="T22" s="164" t="s">
        <v>309</v>
      </c>
      <c r="U22" s="164"/>
      <c r="V22" s="164" t="s">
        <v>329</v>
      </c>
      <c r="W22" s="165"/>
      <c r="X22" s="166"/>
      <c r="Y22" s="164" t="s">
        <v>330</v>
      </c>
      <c r="Z22" s="59" t="str">
        <f>IF(OR($M22="",NOT($O22="{array}")),"",IFERROR(MATCH(PARAMETERS!$M22,DEFAULT!$B$5:$BZ$5,0),""))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IF($AA22="","",IF($B22="I",VLOOKUP($AA22,#REF!,53,0),INDEX(VALUES!$B$1:$AO$1,1,$AA22)))</f>
        <v/>
      </c>
    </row>
    <row r="23" spans="1:29" hidden="1" outlineLevel="1" x14ac:dyDescent="0.25">
      <c r="A23" s="22" t="s">
        <v>83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7" t="s">
        <v>18</v>
      </c>
      <c r="L23" s="168" t="s">
        <v>32</v>
      </c>
      <c r="M23" s="181" t="s">
        <v>331</v>
      </c>
      <c r="N23" s="169" t="s">
        <v>332</v>
      </c>
      <c r="O23" s="160" t="s">
        <v>133</v>
      </c>
      <c r="P23" s="161" t="s">
        <v>309</v>
      </c>
      <c r="Q23" s="163" t="s">
        <v>9</v>
      </c>
      <c r="R23" s="163" t="s">
        <v>102</v>
      </c>
      <c r="S23" s="163" t="s">
        <v>111</v>
      </c>
      <c r="T23" s="164" t="s">
        <v>309</v>
      </c>
      <c r="U23" s="164"/>
      <c r="V23" s="164" t="s">
        <v>332</v>
      </c>
      <c r="W23" s="165"/>
      <c r="X23" s="166"/>
      <c r="Y23" s="164" t="s">
        <v>333</v>
      </c>
      <c r="Z23" s="59" t="str">
        <f>IF(OR($M23="",NOT($O23="{array}")),"",IFERROR(MATCH(PARAMETERS!$M23,DEFAULT!$B$5:$BZ$5,0),""))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IF($AA23="","",IF($B23="I",VLOOKUP($AA23,#REF!,53,0),INDEX(VALUES!$B$1:$AO$1,1,$AA23)))</f>
        <v/>
      </c>
    </row>
    <row r="24" spans="1:29" hidden="1" outlineLevel="1" x14ac:dyDescent="0.25">
      <c r="A24" s="22" t="s">
        <v>83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7" t="s">
        <v>18</v>
      </c>
      <c r="L24" s="168" t="s">
        <v>32</v>
      </c>
      <c r="M24" s="181" t="s">
        <v>334</v>
      </c>
      <c r="N24" s="169" t="s">
        <v>335</v>
      </c>
      <c r="O24" s="160" t="s">
        <v>133</v>
      </c>
      <c r="P24" s="161" t="s">
        <v>309</v>
      </c>
      <c r="Q24" s="163" t="s">
        <v>9</v>
      </c>
      <c r="R24" s="163" t="s">
        <v>102</v>
      </c>
      <c r="S24" s="163" t="s">
        <v>111</v>
      </c>
      <c r="T24" s="164" t="s">
        <v>309</v>
      </c>
      <c r="U24" s="164"/>
      <c r="V24" s="164" t="s">
        <v>335</v>
      </c>
      <c r="W24" s="165"/>
      <c r="X24" s="166"/>
      <c r="Y24" s="164" t="s">
        <v>336</v>
      </c>
      <c r="Z24" s="59" t="str">
        <f>IF(OR($M24="",NOT($O24="{array}")),"",IFERROR(MATCH(PARAMETERS!$M24,DEFAULT!$B$5:$BZ$5,0),""))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IF($AA24="","",IF($B24="I",VLOOKUP($AA24,#REF!,53,0),INDEX(VALUES!$B$1:$AO$1,1,$AA24)))</f>
        <v/>
      </c>
    </row>
    <row r="25" spans="1:29" hidden="1" outlineLevel="1" x14ac:dyDescent="0.25">
      <c r="A25" s="22" t="s">
        <v>83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7" t="s">
        <v>18</v>
      </c>
      <c r="L25" s="168" t="s">
        <v>32</v>
      </c>
      <c r="M25" s="181" t="s">
        <v>337</v>
      </c>
      <c r="N25" s="169" t="s">
        <v>338</v>
      </c>
      <c r="O25" s="160" t="s">
        <v>133</v>
      </c>
      <c r="P25" s="161" t="s">
        <v>309</v>
      </c>
      <c r="Q25" s="163" t="s">
        <v>9</v>
      </c>
      <c r="R25" s="163" t="s">
        <v>102</v>
      </c>
      <c r="S25" s="163" t="s">
        <v>111</v>
      </c>
      <c r="T25" s="164" t="s">
        <v>309</v>
      </c>
      <c r="U25" s="164"/>
      <c r="V25" s="164" t="s">
        <v>338</v>
      </c>
      <c r="W25" s="165"/>
      <c r="X25" s="166"/>
      <c r="Y25" s="164" t="s">
        <v>339</v>
      </c>
      <c r="Z25" s="59" t="str">
        <f>IF(OR($M25="",NOT($O25="{array}")),"",IFERROR(MATCH(PARAMETERS!$M25,DEFAULT!$B$5:$BZ$5,0),""))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IF($AA25="","",IF($B25="I",VLOOKUP($AA25,#REF!,53,0),INDEX(VALUES!$B$1:$AO$1,1,$AA25)))</f>
        <v/>
      </c>
    </row>
    <row r="26" spans="1:29" hidden="1" outlineLevel="1" x14ac:dyDescent="0.25">
      <c r="A26" s="22" t="s">
        <v>83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7" t="s">
        <v>18</v>
      </c>
      <c r="L26" s="168" t="s">
        <v>32</v>
      </c>
      <c r="M26" s="181" t="s">
        <v>340</v>
      </c>
      <c r="N26" s="170" t="s">
        <v>341</v>
      </c>
      <c r="O26" s="160" t="s">
        <v>133</v>
      </c>
      <c r="P26" s="161" t="s">
        <v>309</v>
      </c>
      <c r="Q26" s="172" t="s">
        <v>9</v>
      </c>
      <c r="R26" s="172" t="s">
        <v>102</v>
      </c>
      <c r="S26" s="172" t="s">
        <v>111</v>
      </c>
      <c r="T26" s="167" t="s">
        <v>309</v>
      </c>
      <c r="U26" s="167"/>
      <c r="V26" s="167" t="s">
        <v>341</v>
      </c>
      <c r="W26" s="173"/>
      <c r="X26" s="161"/>
      <c r="Y26" s="167" t="s">
        <v>342</v>
      </c>
      <c r="Z26" s="59" t="str">
        <f>IF(OR($M26="",NOT($O26="{array}")),"",IFERROR(MATCH(PARAMETERS!$M26,DEFAULT!$B$5:$BZ$5,0),""))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IF($AA26="","",IF($B26="I",VLOOKUP($AA26,#REF!,53,0),INDEX(VALUES!$B$1:$AO$1,1,$AA26)))</f>
        <v/>
      </c>
    </row>
    <row r="27" spans="1:29" hidden="1" outlineLevel="1" x14ac:dyDescent="0.25">
      <c r="A27" s="22" t="s">
        <v>83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4" t="s">
        <v>18</v>
      </c>
      <c r="L27" s="164" t="s">
        <v>32</v>
      </c>
      <c r="M27" s="181" t="s">
        <v>343</v>
      </c>
      <c r="N27" s="169" t="s">
        <v>344</v>
      </c>
      <c r="O27" s="174" t="s">
        <v>309</v>
      </c>
      <c r="P27" s="175" t="s">
        <v>309</v>
      </c>
      <c r="Q27" s="163" t="s">
        <v>9</v>
      </c>
      <c r="R27" s="163" t="s">
        <v>102</v>
      </c>
      <c r="S27" s="163" t="s">
        <v>111</v>
      </c>
      <c r="T27" s="164" t="s">
        <v>309</v>
      </c>
      <c r="U27" s="164"/>
      <c r="V27" s="164" t="s">
        <v>345</v>
      </c>
      <c r="W27" s="165"/>
      <c r="X27" s="166"/>
      <c r="Y27" s="164" t="s">
        <v>346</v>
      </c>
      <c r="Z27" s="59" t="str">
        <f>IF(OR($M27="",NOT($O27="{array}")),"",IFERROR(MATCH(PARAMETERS!$M27,DEFAULT!$B$5:$BZ$5,0),""))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IF($AA27="","",IF($B27="I",VLOOKUP($AA27,#REF!,53,0),INDEX(VALUES!$B$1:$AO$1,1,$AA27)))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213" t="s">
        <v>347</v>
      </c>
      <c r="N28" s="41" t="s">
        <v>348</v>
      </c>
      <c r="R28" s="38" t="s">
        <v>197</v>
      </c>
      <c r="S28" s="38"/>
      <c r="T28" s="15"/>
      <c r="W28" s="15"/>
      <c r="Z28" s="59" t="str">
        <f>IF(OR($M28="",NOT($O28="{array}")),"",IFERROR(MATCH(PARAMETERS!$M28,DEFAULT!$B$5:$BZ$5,0),""))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IF($AA28="","",IF($B28="I",VLOOKUP($AA28,#REF!,53,0),INDEX(VALUES!$B$1:$AO$1,1,$AA28)))</f>
        <v/>
      </c>
    </row>
    <row r="29" spans="1:29" hidden="1" outlineLevel="1" x14ac:dyDescent="0.25">
      <c r="A29" s="22" t="s">
        <v>83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81" t="s">
        <v>349</v>
      </c>
      <c r="N29" s="53" t="s">
        <v>350</v>
      </c>
      <c r="O29" s="160" t="s">
        <v>133</v>
      </c>
      <c r="P29" s="161" t="s">
        <v>309</v>
      </c>
      <c r="Q29" s="172" t="s">
        <v>9</v>
      </c>
      <c r="R29" s="172" t="s">
        <v>102</v>
      </c>
      <c r="S29" s="172" t="s">
        <v>111</v>
      </c>
      <c r="T29" s="167" t="s">
        <v>101</v>
      </c>
      <c r="U29" s="167"/>
      <c r="V29" s="167" t="s">
        <v>351</v>
      </c>
      <c r="W29" s="15"/>
      <c r="Y29" s="167" t="s">
        <v>352</v>
      </c>
      <c r="Z29" s="59" t="str">
        <f>IF(OR($M29="",NOT($O29="{array}")),"",IFERROR(MATCH(PARAMETERS!$M29,DEFAULT!$B$5:$BZ$5,0),""))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IF($AA29="","",IF($B29="I",VLOOKUP($AA29,#REF!,53,0),INDEX(VALUES!$B$1:$AO$1,1,$AA29)))</f>
        <v/>
      </c>
    </row>
    <row r="30" spans="1:29" hidden="1" outlineLevel="1" x14ac:dyDescent="0.3">
      <c r="A30" s="22" t="s">
        <v>83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60" t="s">
        <v>24</v>
      </c>
      <c r="L30" s="160" t="s">
        <v>27</v>
      </c>
      <c r="M30" s="203" t="s">
        <v>353</v>
      </c>
      <c r="N30" s="160" t="s">
        <v>354</v>
      </c>
      <c r="O30" s="160">
        <v>0.8</v>
      </c>
      <c r="P30" s="176" t="s">
        <v>309</v>
      </c>
      <c r="Q30" s="177" t="s">
        <v>9</v>
      </c>
      <c r="R30" s="177" t="s">
        <v>102</v>
      </c>
      <c r="S30" s="177" t="s">
        <v>111</v>
      </c>
      <c r="T30" s="160" t="s">
        <v>309</v>
      </c>
      <c r="U30" s="160"/>
      <c r="V30" s="178"/>
      <c r="W30" s="15"/>
      <c r="Y30" s="160" t="s">
        <v>354</v>
      </c>
      <c r="Z30" s="59" t="str">
        <f>IF(OR($M30="",NOT($O30="{array}")),"",IFERROR(MATCH(PARAMETERS!$M30,DEFAULT!$B$5:$BZ$5,0),""))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IF($AA30="","",IF($B30="I",VLOOKUP($AA30,#REF!,53,0),INDEX(VALUES!$B$1:$AO$1,1,$AA30)))</f>
        <v/>
      </c>
    </row>
    <row r="31" spans="1:29" hidden="1" outlineLevel="1" x14ac:dyDescent="0.3">
      <c r="A31" s="22" t="s">
        <v>83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60" t="s">
        <v>24</v>
      </c>
      <c r="L31" s="160" t="s">
        <v>27</v>
      </c>
      <c r="M31" s="203" t="s">
        <v>355</v>
      </c>
      <c r="N31" s="160" t="s">
        <v>356</v>
      </c>
      <c r="O31" s="160">
        <v>2</v>
      </c>
      <c r="P31" s="176" t="s">
        <v>309</v>
      </c>
      <c r="Q31" s="177" t="s">
        <v>9</v>
      </c>
      <c r="R31" s="177" t="s">
        <v>102</v>
      </c>
      <c r="S31" s="177" t="s">
        <v>111</v>
      </c>
      <c r="T31" s="160" t="s">
        <v>309</v>
      </c>
      <c r="U31" s="160"/>
      <c r="V31" s="178"/>
      <c r="W31" s="15"/>
      <c r="Y31" s="160" t="s">
        <v>356</v>
      </c>
      <c r="Z31" s="59" t="str">
        <f>IF(OR($M31="",NOT($O31="{array}")),"",IFERROR(MATCH(PARAMETERS!$M31,DEFAULT!$B$5:$BZ$5,0),""))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IF($AA31="","",IF($B31="I",VLOOKUP($AA31,#REF!,53,0),INDEX(VALUES!$B$1:$AO$1,1,$AA31)))</f>
        <v/>
      </c>
    </row>
    <row r="32" spans="1:29" hidden="1" outlineLevel="1" x14ac:dyDescent="0.3">
      <c r="A32" s="22" t="s">
        <v>83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60" t="s">
        <v>31</v>
      </c>
      <c r="L32" s="160" t="s">
        <v>27</v>
      </c>
      <c r="M32" s="203" t="s">
        <v>357</v>
      </c>
      <c r="N32" s="160" t="s">
        <v>358</v>
      </c>
      <c r="O32" s="160">
        <v>90</v>
      </c>
      <c r="P32" s="176" t="s">
        <v>309</v>
      </c>
      <c r="Q32" s="177" t="s">
        <v>9</v>
      </c>
      <c r="R32" s="177" t="s">
        <v>102</v>
      </c>
      <c r="S32" s="177" t="s">
        <v>111</v>
      </c>
      <c r="T32" s="160" t="s">
        <v>309</v>
      </c>
      <c r="U32" s="160"/>
      <c r="V32" s="160" t="s">
        <v>358</v>
      </c>
      <c r="W32" s="15"/>
      <c r="Y32" s="160" t="s">
        <v>358</v>
      </c>
      <c r="Z32" s="59" t="str">
        <f>IF(OR($M32="",NOT($O32="{array}")),"",IFERROR(MATCH(PARAMETERS!$M32,DEFAULT!$B$5:$BZ$5,0),""))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IF($AA32="","",IF($B32="I",VLOOKUP($AA32,#REF!,53,0),INDEX(VALUES!$B$1:$AO$1,1,$AA32)))</f>
        <v/>
      </c>
    </row>
    <row r="33" spans="1:29" hidden="1" outlineLevel="1" x14ac:dyDescent="0.3">
      <c r="A33" s="22" t="s">
        <v>83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60" t="s">
        <v>24</v>
      </c>
      <c r="L33" s="168" t="s">
        <v>27</v>
      </c>
      <c r="M33" s="203" t="s">
        <v>359</v>
      </c>
      <c r="N33" s="167" t="s">
        <v>360</v>
      </c>
      <c r="O33" s="160">
        <v>0</v>
      </c>
      <c r="P33" s="161" t="s">
        <v>309</v>
      </c>
      <c r="Q33" s="172" t="s">
        <v>9</v>
      </c>
      <c r="R33" s="172" t="s">
        <v>102</v>
      </c>
      <c r="S33" s="172" t="s">
        <v>111</v>
      </c>
      <c r="T33" s="167" t="s">
        <v>309</v>
      </c>
      <c r="U33" s="167"/>
      <c r="V33" s="167" t="s">
        <v>360</v>
      </c>
      <c r="W33" s="15"/>
      <c r="Y33" s="167" t="s">
        <v>361</v>
      </c>
      <c r="Z33" s="59" t="str">
        <f>IF(OR($M33="",NOT($O33="{array}")),"",IFERROR(MATCH(PARAMETERS!$M33,DEFAULT!$B$5:$BZ$5,0),""))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IF($AA33="","",IF($B33="I",VLOOKUP($AA33,#REF!,53,0),INDEX(VALUES!$B$1:$AO$1,1,$AA33)))</f>
        <v/>
      </c>
    </row>
    <row r="34" spans="1:29" hidden="1" outlineLevel="1" x14ac:dyDescent="0.3">
      <c r="A34" s="22" t="s">
        <v>83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60" t="s">
        <v>18</v>
      </c>
      <c r="L34" s="168" t="s">
        <v>32</v>
      </c>
      <c r="M34" s="203" t="s">
        <v>362</v>
      </c>
      <c r="N34" s="167" t="s">
        <v>363</v>
      </c>
      <c r="O34" s="160" t="s">
        <v>133</v>
      </c>
      <c r="P34" s="161" t="s">
        <v>309</v>
      </c>
      <c r="Q34" s="172" t="s">
        <v>9</v>
      </c>
      <c r="R34" s="172" t="s">
        <v>102</v>
      </c>
      <c r="S34" s="172" t="s">
        <v>111</v>
      </c>
      <c r="T34" s="167" t="s">
        <v>101</v>
      </c>
      <c r="U34" s="167"/>
      <c r="V34" s="167" t="s">
        <v>363</v>
      </c>
      <c r="W34" s="15"/>
      <c r="Y34" s="167" t="s">
        <v>364</v>
      </c>
      <c r="Z34" s="59" t="str">
        <f>IF(OR($M34="",NOT($O34="{array}")),"",IFERROR(MATCH(PARAMETERS!$M34,DEFAULT!$B$5:$BZ$5,0),""))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IF($AA34="","",IF($B34="I",VLOOKUP($AA34,#REF!,53,0),INDEX(VALUES!$B$1:$AO$1,1,$AA34)))</f>
        <v/>
      </c>
    </row>
    <row r="35" spans="1:29" hidden="1" outlineLevel="1" x14ac:dyDescent="0.3">
      <c r="A35" s="22" t="s">
        <v>83</v>
      </c>
      <c r="B35" s="41" t="str">
        <f t="shared" si="1"/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7" t="s">
        <v>18</v>
      </c>
      <c r="L35" s="168" t="s">
        <v>27</v>
      </c>
      <c r="M35" s="203" t="s">
        <v>365</v>
      </c>
      <c r="N35" s="167" t="s">
        <v>366</v>
      </c>
      <c r="O35" s="160" t="s">
        <v>133</v>
      </c>
      <c r="P35" s="161" t="s">
        <v>309</v>
      </c>
      <c r="Q35" s="172" t="s">
        <v>9</v>
      </c>
      <c r="R35" s="172" t="s">
        <v>102</v>
      </c>
      <c r="S35" s="172" t="s">
        <v>111</v>
      </c>
      <c r="T35" s="167" t="s">
        <v>101</v>
      </c>
      <c r="U35" s="167"/>
      <c r="V35" s="167" t="s">
        <v>366</v>
      </c>
      <c r="W35" s="15"/>
      <c r="Y35" s="167" t="s">
        <v>367</v>
      </c>
      <c r="Z35" s="59" t="str">
        <f>IF(OR($M35="",NOT($O35="{array}")),"",IFERROR(MATCH(PARAMETERS!$M35,DEFAULT!$B$5:$BZ$5,0),""))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IF($AA35="","",IF($B35="I",VLOOKUP($AA35,#REF!,53,0),INDEX(VALUES!$B$1:$AO$1,1,$AA35)))</f>
        <v/>
      </c>
    </row>
    <row r="36" spans="1:29" hidden="1" outlineLevel="1" x14ac:dyDescent="0.3">
      <c r="A36" s="22" t="s">
        <v>83</v>
      </c>
      <c r="B36" s="41" t="str">
        <f t="shared" si="1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7" t="s">
        <v>18</v>
      </c>
      <c r="L36" s="168" t="s">
        <v>27</v>
      </c>
      <c r="M36" s="203" t="s">
        <v>368</v>
      </c>
      <c r="N36" s="167" t="s">
        <v>369</v>
      </c>
      <c r="O36" s="160" t="s">
        <v>133</v>
      </c>
      <c r="P36" s="161" t="s">
        <v>309</v>
      </c>
      <c r="Q36" s="172" t="s">
        <v>9</v>
      </c>
      <c r="R36" s="172" t="s">
        <v>102</v>
      </c>
      <c r="S36" s="172" t="s">
        <v>111</v>
      </c>
      <c r="T36" s="167" t="s">
        <v>101</v>
      </c>
      <c r="U36" s="167"/>
      <c r="V36" s="167" t="s">
        <v>369</v>
      </c>
      <c r="W36" s="15"/>
      <c r="Y36" s="167" t="s">
        <v>370</v>
      </c>
      <c r="Z36" s="59" t="str">
        <f>IF(OR($M36="",NOT($O36="{array}")),"",IFERROR(MATCH(PARAMETERS!$M36,DEFAULT!$B$5:$BZ$5,0),""))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IF($AA36="","",IF($B36="I",VLOOKUP($AA36,#REF!,53,0),INDEX(VALUES!$B$1:$AO$1,1,$AA36)))</f>
        <v/>
      </c>
    </row>
    <row r="37" spans="1:29" hidden="1" outlineLevel="1" x14ac:dyDescent="0.3">
      <c r="A37" s="22" t="s">
        <v>83</v>
      </c>
      <c r="B37" s="41" t="str">
        <f t="shared" si="1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7" t="s">
        <v>18</v>
      </c>
      <c r="L37" s="168" t="s">
        <v>32</v>
      </c>
      <c r="M37" s="203" t="s">
        <v>371</v>
      </c>
      <c r="N37" s="167" t="s">
        <v>372</v>
      </c>
      <c r="O37" s="160" t="s">
        <v>133</v>
      </c>
      <c r="P37" s="161" t="s">
        <v>309</v>
      </c>
      <c r="Q37" s="172" t="s">
        <v>9</v>
      </c>
      <c r="R37" s="172" t="s">
        <v>102</v>
      </c>
      <c r="S37" s="172" t="s">
        <v>111</v>
      </c>
      <c r="T37" s="167" t="s">
        <v>101</v>
      </c>
      <c r="U37" s="167"/>
      <c r="V37" s="167" t="s">
        <v>372</v>
      </c>
      <c r="W37" s="15"/>
      <c r="Y37" s="167" t="s">
        <v>373</v>
      </c>
      <c r="Z37" s="59" t="str">
        <f>IF(OR($M37="",NOT($O37="{array}")),"",IFERROR(MATCH(PARAMETERS!$M37,DEFAULT!$B$5:$BZ$5,0),""))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IF($AA37="","",IF($B37="I",VLOOKUP($AA37,#REF!,53,0),INDEX(VALUES!$B$1:$AO$1,1,$AA37)))</f>
        <v/>
      </c>
    </row>
    <row r="38" spans="1:29" hidden="1" outlineLevel="1" x14ac:dyDescent="0.25">
      <c r="A38" s="22" t="s">
        <v>83</v>
      </c>
      <c r="B38" s="41" t="str">
        <f t="shared" si="1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7" t="s">
        <v>18</v>
      </c>
      <c r="L38" s="168" t="s">
        <v>32</v>
      </c>
      <c r="M38" s="181" t="s">
        <v>374</v>
      </c>
      <c r="N38" s="164" t="s">
        <v>375</v>
      </c>
      <c r="O38" s="160" t="s">
        <v>133</v>
      </c>
      <c r="P38" s="161" t="s">
        <v>309</v>
      </c>
      <c r="Q38" s="163" t="s">
        <v>9</v>
      </c>
      <c r="R38" s="163" t="s">
        <v>102</v>
      </c>
      <c r="S38" s="163" t="s">
        <v>111</v>
      </c>
      <c r="T38" s="164" t="s">
        <v>309</v>
      </c>
      <c r="U38" s="164"/>
      <c r="V38" s="164" t="s">
        <v>375</v>
      </c>
      <c r="W38" s="165"/>
      <c r="Y38" s="164" t="s">
        <v>376</v>
      </c>
      <c r="Z38" s="59" t="str">
        <f>IF(OR($M38="",NOT($O38="{array}")),"",IFERROR(MATCH(PARAMETERS!$M38,DEFAULT!$B$5:$BZ$5,0),""))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IF($AA38="","",IF($B38="I",VLOOKUP($AA38,#REF!,53,0),INDEX(VALUES!$B$1:$AO$1,1,$AA38)))</f>
        <v/>
      </c>
    </row>
    <row r="39" spans="1:29" hidden="1" outlineLevel="1" x14ac:dyDescent="0.25">
      <c r="A39" s="22" t="s">
        <v>83</v>
      </c>
      <c r="B39" s="41" t="str">
        <f t="shared" si="1"/>
        <v/>
      </c>
      <c r="C39" s="42">
        <f t="shared" si="2"/>
        <v>38</v>
      </c>
      <c r="D39" s="38"/>
      <c r="E39" s="38"/>
      <c r="F39" s="38"/>
      <c r="G39" s="38"/>
      <c r="H39" s="38"/>
      <c r="I39" s="38" t="s">
        <v>9</v>
      </c>
      <c r="J39" s="38"/>
      <c r="K39" s="167" t="s">
        <v>18</v>
      </c>
      <c r="L39" s="168" t="s">
        <v>32</v>
      </c>
      <c r="M39" s="181" t="s">
        <v>377</v>
      </c>
      <c r="N39" s="164" t="s">
        <v>378</v>
      </c>
      <c r="O39" s="160" t="s">
        <v>133</v>
      </c>
      <c r="P39" s="161" t="s">
        <v>309</v>
      </c>
      <c r="Q39" s="163" t="s">
        <v>9</v>
      </c>
      <c r="R39" s="163" t="s">
        <v>102</v>
      </c>
      <c r="S39" s="163" t="s">
        <v>111</v>
      </c>
      <c r="T39" s="164" t="s">
        <v>309</v>
      </c>
      <c r="U39" s="164"/>
      <c r="V39" s="164" t="s">
        <v>378</v>
      </c>
      <c r="W39" s="165"/>
      <c r="Y39" s="164" t="s">
        <v>379</v>
      </c>
      <c r="Z39" s="59" t="str">
        <f>IF(OR($M39="",NOT($O39="{array}")),"",IFERROR(MATCH(PARAMETERS!$M39,DEFAULT!$B$5:$BZ$5,0),""))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IF($AA39="","",IF($B39="I",VLOOKUP($AA39,#REF!,53,0),INDEX(VALUES!$B$1:$AO$1,1,$AA39)))</f>
        <v/>
      </c>
    </row>
    <row r="40" spans="1:29" hidden="1" outlineLevel="1" x14ac:dyDescent="0.25">
      <c r="A40" s="22" t="s">
        <v>83</v>
      </c>
      <c r="B40" s="41" t="str">
        <f t="shared" si="1"/>
        <v/>
      </c>
      <c r="C40" s="42">
        <f t="shared" si="2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81" t="s">
        <v>380</v>
      </c>
      <c r="N40" s="164" t="s">
        <v>381</v>
      </c>
      <c r="O40" s="160" t="s">
        <v>133</v>
      </c>
      <c r="P40" s="161" t="s">
        <v>309</v>
      </c>
      <c r="Q40" s="163" t="s">
        <v>9</v>
      </c>
      <c r="R40" s="163" t="s">
        <v>102</v>
      </c>
      <c r="S40" s="163" t="s">
        <v>111</v>
      </c>
      <c r="T40" s="164" t="s">
        <v>309</v>
      </c>
      <c r="U40" s="164"/>
      <c r="V40" s="164" t="s">
        <v>381</v>
      </c>
      <c r="W40" s="165"/>
      <c r="Y40" s="164" t="s">
        <v>382</v>
      </c>
      <c r="Z40" s="59" t="str">
        <f>IF(OR($M40="",NOT($O40="{array}")),"",IFERROR(MATCH(PARAMETERS!$M40,DEFAULT!$B$5:$BZ$5,0),""))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IF($AA40="","",IF($B40="I",VLOOKUP($AA40,#REF!,53,0),INDEX(VALUES!$B$1:$AO$1,1,$AA40)))</f>
        <v/>
      </c>
    </row>
    <row r="41" spans="1:29" hidden="1" outlineLevel="1" x14ac:dyDescent="0.25">
      <c r="A41" s="22" t="s">
        <v>83</v>
      </c>
      <c r="B41" s="41" t="str">
        <f t="shared" si="1"/>
        <v/>
      </c>
      <c r="C41" s="42">
        <f t="shared" si="2"/>
        <v>40</v>
      </c>
      <c r="D41" s="38"/>
      <c r="E41" s="38"/>
      <c r="F41" s="38"/>
      <c r="G41" s="38"/>
      <c r="H41" s="38"/>
      <c r="I41" s="38" t="s">
        <v>9</v>
      </c>
      <c r="J41" s="38"/>
      <c r="K41" s="164" t="s">
        <v>18</v>
      </c>
      <c r="L41" s="164" t="s">
        <v>32</v>
      </c>
      <c r="M41" s="181" t="s">
        <v>383</v>
      </c>
      <c r="N41" s="164" t="s">
        <v>345</v>
      </c>
      <c r="O41" s="160" t="s">
        <v>133</v>
      </c>
      <c r="P41" s="175" t="s">
        <v>309</v>
      </c>
      <c r="Q41" s="163" t="s">
        <v>9</v>
      </c>
      <c r="R41" s="163" t="s">
        <v>102</v>
      </c>
      <c r="S41" s="163" t="s">
        <v>111</v>
      </c>
      <c r="T41" s="164" t="s">
        <v>309</v>
      </c>
      <c r="U41" s="164"/>
      <c r="V41" s="164" t="s">
        <v>345</v>
      </c>
      <c r="W41" s="165"/>
      <c r="Y41" s="164" t="s">
        <v>346</v>
      </c>
      <c r="Z41" s="59" t="str">
        <f>IF(OR($M41="",NOT($O41="{array}")),"",IFERROR(MATCH(PARAMETERS!$M41,DEFAULT!$B$5:$BZ$5,0),""))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IF($AA41="","",IF($B41="I",VLOOKUP($AA41,#REF!,53,0),INDEX(VALUES!$B$1:$AO$1,1,$AA41)))</f>
        <v/>
      </c>
    </row>
    <row r="42" spans="1:29" hidden="1" outlineLevel="1" x14ac:dyDescent="0.3">
      <c r="A42" s="22" t="s">
        <v>83</v>
      </c>
      <c r="B42" s="41" t="str">
        <f t="shared" si="1"/>
        <v/>
      </c>
      <c r="C42" s="42">
        <f t="shared" si="2"/>
        <v>41</v>
      </c>
      <c r="D42" s="38"/>
      <c r="E42" s="38"/>
      <c r="F42" s="38"/>
      <c r="G42" s="38"/>
      <c r="H42" s="38"/>
      <c r="I42" s="38" t="s">
        <v>9</v>
      </c>
      <c r="J42" s="38"/>
      <c r="K42" s="164" t="s">
        <v>18</v>
      </c>
      <c r="L42" s="168" t="s">
        <v>32</v>
      </c>
      <c r="M42" s="203" t="s">
        <v>384</v>
      </c>
      <c r="N42" s="164" t="s">
        <v>385</v>
      </c>
      <c r="O42" s="160" t="s">
        <v>133</v>
      </c>
      <c r="P42" s="166" t="s">
        <v>309</v>
      </c>
      <c r="Q42" s="163" t="s">
        <v>9</v>
      </c>
      <c r="R42" s="163" t="s">
        <v>102</v>
      </c>
      <c r="S42" s="163" t="s">
        <v>111</v>
      </c>
      <c r="T42" s="164" t="s">
        <v>309</v>
      </c>
      <c r="U42" s="164"/>
      <c r="V42" s="164" t="s">
        <v>385</v>
      </c>
      <c r="W42" s="165"/>
      <c r="Y42" s="164" t="s">
        <v>386</v>
      </c>
      <c r="Z42" s="59" t="str">
        <f>IF(OR($M42="",NOT($O42="{array}")),"",IFERROR(MATCH(PARAMETERS!$M42,DEFAULT!$B$5:$BZ$5,0),""))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IF($AA42="","",IF($B42="I",VLOOKUP($AA42,#REF!,53,0),INDEX(VALUES!$B$1:$AO$1,1,$AA42)))</f>
        <v/>
      </c>
    </row>
    <row r="43" spans="1:29" hidden="1" outlineLevel="1" x14ac:dyDescent="0.3">
      <c r="A43" s="22" t="s">
        <v>83</v>
      </c>
      <c r="B43" s="41" t="str">
        <f t="shared" si="1"/>
        <v/>
      </c>
      <c r="C43" s="42">
        <f t="shared" si="2"/>
        <v>42</v>
      </c>
      <c r="D43" s="38"/>
      <c r="E43" s="38"/>
      <c r="F43" s="38"/>
      <c r="G43" s="38"/>
      <c r="H43" s="38"/>
      <c r="I43" s="38" t="s">
        <v>9</v>
      </c>
      <c r="J43" s="38"/>
      <c r="K43" s="167" t="s">
        <v>18</v>
      </c>
      <c r="L43" s="168" t="s">
        <v>32</v>
      </c>
      <c r="M43" s="203" t="s">
        <v>387</v>
      </c>
      <c r="N43" s="167" t="s">
        <v>388</v>
      </c>
      <c r="O43" s="160" t="s">
        <v>133</v>
      </c>
      <c r="P43" s="161" t="s">
        <v>309</v>
      </c>
      <c r="Q43" s="172" t="s">
        <v>9</v>
      </c>
      <c r="R43" s="172" t="s">
        <v>102</v>
      </c>
      <c r="S43" s="172" t="s">
        <v>111</v>
      </c>
      <c r="T43" s="167" t="s">
        <v>309</v>
      </c>
      <c r="U43" s="167"/>
      <c r="V43" s="167" t="s">
        <v>388</v>
      </c>
      <c r="W43" s="15"/>
      <c r="Y43" s="167" t="s">
        <v>389</v>
      </c>
      <c r="Z43" s="59" t="str">
        <f>IF(OR($M43="",NOT($O43="{array}")),"",IFERROR(MATCH(PARAMETERS!$M43,DEFAULT!$B$5:$BZ$5,0),""))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IF($AA43="","",IF($B43="I",VLOOKUP($AA43,#REF!,53,0),INDEX(VALUES!$B$1:$AO$1,1,$AA43)))</f>
        <v/>
      </c>
    </row>
    <row r="44" spans="1:29" hidden="1" outlineLevel="1" x14ac:dyDescent="0.25">
      <c r="A44" s="22" t="s">
        <v>83</v>
      </c>
      <c r="B44" s="41" t="str">
        <f t="shared" si="1"/>
        <v/>
      </c>
      <c r="C44" s="42">
        <f t="shared" si="2"/>
        <v>43</v>
      </c>
      <c r="D44" s="179"/>
      <c r="E44" s="179"/>
      <c r="F44" s="179"/>
      <c r="G44" s="179"/>
      <c r="H44" s="179"/>
      <c r="I44" s="38" t="s">
        <v>9</v>
      </c>
      <c r="J44" s="180"/>
      <c r="K44" s="164" t="s">
        <v>18</v>
      </c>
      <c r="L44" s="164" t="s">
        <v>32</v>
      </c>
      <c r="M44" s="181" t="s">
        <v>390</v>
      </c>
      <c r="N44" s="164" t="s">
        <v>391</v>
      </c>
      <c r="O44" s="160" t="s">
        <v>133</v>
      </c>
      <c r="P44" s="175" t="s">
        <v>309</v>
      </c>
      <c r="Q44" s="163" t="s">
        <v>9</v>
      </c>
      <c r="R44" s="163" t="s">
        <v>102</v>
      </c>
      <c r="S44" s="163" t="s">
        <v>111</v>
      </c>
      <c r="T44" s="164" t="s">
        <v>309</v>
      </c>
      <c r="U44" s="164"/>
      <c r="V44" s="164" t="s">
        <v>391</v>
      </c>
      <c r="W44" s="165"/>
      <c r="Y44" s="164" t="s">
        <v>392</v>
      </c>
      <c r="Z44" s="59" t="str">
        <f>IF(OR($M44="",NOT($O44="{array}")),"",IFERROR(MATCH(PARAMETERS!$M44,DEFAULT!$B$5:$BZ$5,0),""))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IF($AA44="","",IF($B44="I",VLOOKUP($AA44,#REF!,53,0),INDEX(VALUES!$B$1:$AO$1,1,$AA44)))</f>
        <v/>
      </c>
    </row>
    <row r="45" spans="1:29" hidden="1" outlineLevel="1" x14ac:dyDescent="0.25">
      <c r="A45" s="22" t="s">
        <v>83</v>
      </c>
      <c r="B45" s="41" t="str">
        <f t="shared" si="1"/>
        <v/>
      </c>
      <c r="C45" s="42">
        <f t="shared" si="2"/>
        <v>44</v>
      </c>
      <c r="D45" s="38"/>
      <c r="E45" s="38"/>
      <c r="F45" s="38"/>
      <c r="G45" s="38"/>
      <c r="H45" s="38"/>
      <c r="I45" s="38" t="s">
        <v>9</v>
      </c>
      <c r="J45" s="38"/>
      <c r="K45" s="164" t="s">
        <v>18</v>
      </c>
      <c r="L45" s="168" t="s">
        <v>32</v>
      </c>
      <c r="M45" s="181" t="s">
        <v>393</v>
      </c>
      <c r="N45" s="164" t="s">
        <v>394</v>
      </c>
      <c r="O45" s="160" t="s">
        <v>133</v>
      </c>
      <c r="P45" s="161" t="s">
        <v>309</v>
      </c>
      <c r="Q45" s="163" t="s">
        <v>9</v>
      </c>
      <c r="R45" s="163" t="s">
        <v>102</v>
      </c>
      <c r="S45" s="163" t="s">
        <v>111</v>
      </c>
      <c r="T45" s="164" t="s">
        <v>309</v>
      </c>
      <c r="U45" s="164"/>
      <c r="V45" s="164" t="s">
        <v>394</v>
      </c>
      <c r="W45" s="165"/>
      <c r="Y45" s="164" t="s">
        <v>395</v>
      </c>
      <c r="Z45" s="59" t="str">
        <f>IF(OR($M45="",NOT($O45="{array}")),"",IFERROR(MATCH(PARAMETERS!$M45,DEFAULT!$B$5:$BZ$5,0),""))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IF($AA45="","",IF($B45="I",VLOOKUP($AA45,#REF!,53,0),INDEX(VALUES!$B$1:$AO$1,1,$AA45)))</f>
        <v/>
      </c>
    </row>
    <row r="46" spans="1:29" hidden="1" outlineLevel="1" x14ac:dyDescent="0.3">
      <c r="A46" s="22" t="s">
        <v>83</v>
      </c>
      <c r="B46" s="41" t="str">
        <f t="shared" si="1"/>
        <v/>
      </c>
      <c r="C46" s="42">
        <f t="shared" si="2"/>
        <v>45</v>
      </c>
      <c r="D46" s="38"/>
      <c r="E46" s="38"/>
      <c r="F46" s="38"/>
      <c r="G46" s="38"/>
      <c r="H46" s="38"/>
      <c r="I46" s="38" t="s">
        <v>9</v>
      </c>
      <c r="J46" s="38"/>
      <c r="K46" s="164" t="s">
        <v>18</v>
      </c>
      <c r="L46" s="168" t="s">
        <v>32</v>
      </c>
      <c r="M46" s="203" t="s">
        <v>396</v>
      </c>
      <c r="N46" s="164" t="s">
        <v>397</v>
      </c>
      <c r="O46" s="160" t="s">
        <v>133</v>
      </c>
      <c r="P46" s="166" t="s">
        <v>309</v>
      </c>
      <c r="Q46" s="163" t="s">
        <v>9</v>
      </c>
      <c r="R46" s="163" t="s">
        <v>102</v>
      </c>
      <c r="S46" s="163" t="s">
        <v>111</v>
      </c>
      <c r="T46" s="164" t="s">
        <v>309</v>
      </c>
      <c r="U46" s="164"/>
      <c r="V46" s="164" t="s">
        <v>397</v>
      </c>
      <c r="W46" s="165"/>
      <c r="Y46" s="164" t="s">
        <v>398</v>
      </c>
      <c r="Z46" s="59" t="str">
        <f>IF(OR($M46="",NOT($O46="{array}")),"",IFERROR(MATCH(PARAMETERS!$M46,DEFAULT!$B$5:$BZ$5,0),""))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IF($AA46="","",IF($B46="I",VLOOKUP($AA46,#REF!,53,0),INDEX(VALUES!$B$1:$AO$1,1,$AA46)))</f>
        <v/>
      </c>
    </row>
    <row r="47" spans="1:29" hidden="1" outlineLevel="1" x14ac:dyDescent="0.3">
      <c r="A47" s="22" t="s">
        <v>83</v>
      </c>
      <c r="B47" s="41" t="str">
        <f t="shared" si="1"/>
        <v/>
      </c>
      <c r="C47" s="42">
        <f t="shared" si="2"/>
        <v>46</v>
      </c>
      <c r="D47" s="38"/>
      <c r="E47" s="38"/>
      <c r="F47" s="38"/>
      <c r="G47" s="38"/>
      <c r="H47" s="38"/>
      <c r="I47" s="38" t="s">
        <v>9</v>
      </c>
      <c r="J47" s="38"/>
      <c r="K47" s="164" t="s">
        <v>18</v>
      </c>
      <c r="L47" s="168" t="s">
        <v>32</v>
      </c>
      <c r="M47" s="203" t="s">
        <v>399</v>
      </c>
      <c r="N47" s="164" t="s">
        <v>400</v>
      </c>
      <c r="O47" s="160" t="s">
        <v>133</v>
      </c>
      <c r="P47" s="166" t="s">
        <v>309</v>
      </c>
      <c r="Q47" s="163" t="s">
        <v>9</v>
      </c>
      <c r="R47" s="163" t="s">
        <v>102</v>
      </c>
      <c r="S47" s="163" t="s">
        <v>111</v>
      </c>
      <c r="T47" s="164" t="s">
        <v>309</v>
      </c>
      <c r="U47" s="164"/>
      <c r="V47" s="164" t="s">
        <v>400</v>
      </c>
      <c r="W47" s="165"/>
      <c r="Y47" s="164" t="s">
        <v>401</v>
      </c>
      <c r="Z47" s="59" t="str">
        <f>IF(OR($M47="",NOT($O47="{array}")),"",IFERROR(MATCH(PARAMETERS!$M47,DEFAULT!$B$5:$BZ$5,0),""))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IF($AA47="","",IF($B47="I",VLOOKUP($AA47,#REF!,53,0),INDEX(VALUES!$B$1:$AO$1,1,$AA47)))</f>
        <v/>
      </c>
    </row>
    <row r="48" spans="1:29" hidden="1" outlineLevel="1" x14ac:dyDescent="0.3">
      <c r="A48" s="22" t="s">
        <v>83</v>
      </c>
      <c r="B48" s="41" t="str">
        <f t="shared" si="1"/>
        <v/>
      </c>
      <c r="C48" s="42">
        <f t="shared" si="2"/>
        <v>47</v>
      </c>
      <c r="D48" s="38"/>
      <c r="E48" s="38"/>
      <c r="F48" s="38"/>
      <c r="G48" s="38"/>
      <c r="H48" s="38"/>
      <c r="I48" s="38" t="s">
        <v>9</v>
      </c>
      <c r="J48" s="38"/>
      <c r="K48" s="164" t="s">
        <v>18</v>
      </c>
      <c r="L48" s="168" t="s">
        <v>32</v>
      </c>
      <c r="M48" s="203" t="s">
        <v>402</v>
      </c>
      <c r="N48" s="164" t="s">
        <v>403</v>
      </c>
      <c r="O48" s="160" t="s">
        <v>133</v>
      </c>
      <c r="P48" s="166" t="s">
        <v>309</v>
      </c>
      <c r="Q48" s="163" t="s">
        <v>9</v>
      </c>
      <c r="R48" s="163" t="s">
        <v>102</v>
      </c>
      <c r="S48" s="163" t="s">
        <v>111</v>
      </c>
      <c r="T48" s="164" t="s">
        <v>309</v>
      </c>
      <c r="U48" s="164"/>
      <c r="V48" s="164" t="s">
        <v>403</v>
      </c>
      <c r="W48" s="165"/>
      <c r="Y48" s="164" t="s">
        <v>401</v>
      </c>
      <c r="Z48" s="59" t="str">
        <f>IF(OR($M48="",NOT($O48="{array}")),"",IFERROR(MATCH(PARAMETERS!$M48,DEFAULT!$B$5:$BZ$5,0),""))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IF($AA48="","",IF($B48="I",VLOOKUP($AA48,#REF!,53,0),INDEX(VALUES!$B$1:$AO$1,1,$AA48)))</f>
        <v/>
      </c>
    </row>
    <row r="49" spans="1:29" hidden="1" outlineLevel="1" x14ac:dyDescent="0.3">
      <c r="A49" s="22" t="s">
        <v>83</v>
      </c>
      <c r="B49" s="41" t="str">
        <f t="shared" si="1"/>
        <v/>
      </c>
      <c r="C49" s="42">
        <f t="shared" si="2"/>
        <v>48</v>
      </c>
      <c r="D49" s="38"/>
      <c r="E49" s="38"/>
      <c r="F49" s="38"/>
      <c r="G49" s="38"/>
      <c r="H49" s="38"/>
      <c r="I49" s="38" t="s">
        <v>9</v>
      </c>
      <c r="J49" s="38"/>
      <c r="K49" s="164" t="s">
        <v>18</v>
      </c>
      <c r="L49" s="168" t="s">
        <v>32</v>
      </c>
      <c r="M49" s="203" t="s">
        <v>404</v>
      </c>
      <c r="N49" s="164" t="s">
        <v>405</v>
      </c>
      <c r="O49" s="160" t="s">
        <v>133</v>
      </c>
      <c r="P49" s="166" t="s">
        <v>309</v>
      </c>
      <c r="Q49" s="163" t="s">
        <v>9</v>
      </c>
      <c r="R49" s="163" t="s">
        <v>102</v>
      </c>
      <c r="S49" s="163" t="s">
        <v>111</v>
      </c>
      <c r="T49" s="164" t="s">
        <v>309</v>
      </c>
      <c r="U49" s="164"/>
      <c r="V49" s="164" t="s">
        <v>405</v>
      </c>
      <c r="W49" s="165"/>
      <c r="Y49" s="164" t="s">
        <v>406</v>
      </c>
      <c r="Z49" s="59" t="str">
        <f>IF(OR($M49="",NOT($O49="{array}")),"",IFERROR(MATCH(PARAMETERS!$M49,DEFAULT!$B$5:$BZ$5,0),""))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IF($AA49="","",IF($B49="I",VLOOKUP($AA49,#REF!,53,0),INDEX(VALUES!$B$1:$AO$1,1,$AA49)))</f>
        <v/>
      </c>
    </row>
    <row r="50" spans="1:29" hidden="1" outlineLevel="1" x14ac:dyDescent="0.3">
      <c r="A50" s="22"/>
      <c r="B50" s="41" t="str">
        <f t="shared" si="1"/>
        <v/>
      </c>
      <c r="C50" s="42">
        <f t="shared" si="2"/>
        <v>49</v>
      </c>
      <c r="D50" s="38"/>
      <c r="E50" s="38"/>
      <c r="F50" s="38"/>
      <c r="G50" s="38"/>
      <c r="H50" s="38"/>
      <c r="I50" s="38" t="s">
        <v>9</v>
      </c>
      <c r="J50" s="38"/>
      <c r="K50" s="182" t="s">
        <v>18</v>
      </c>
      <c r="L50" s="182" t="s">
        <v>32</v>
      </c>
      <c r="M50" s="183" t="s">
        <v>407</v>
      </c>
      <c r="N50" s="182" t="s">
        <v>408</v>
      </c>
      <c r="O50" s="167" t="s">
        <v>133</v>
      </c>
      <c r="P50" s="184" t="s">
        <v>309</v>
      </c>
      <c r="Q50" s="185" t="s">
        <v>9</v>
      </c>
      <c r="R50" s="185" t="s">
        <v>102</v>
      </c>
      <c r="S50" s="185" t="s">
        <v>111</v>
      </c>
      <c r="T50" s="182" t="s">
        <v>309</v>
      </c>
      <c r="U50" s="182"/>
      <c r="V50" s="182" t="s">
        <v>408</v>
      </c>
      <c r="W50" s="186"/>
      <c r="Y50" s="182" t="s">
        <v>409</v>
      </c>
      <c r="Z50" s="59" t="str">
        <f>IF(OR($M50="",NOT($O50="{array}")),"",IFERROR(MATCH(PARAMETERS!$M50,DEFAULT!$B$5:$BZ$5,0),""))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IF($AA50="","",IF($B50="I",VLOOKUP($AA50,#REF!,53,0),INDEX(VALUES!$B$1:$AO$1,1,$AA50)))</f>
        <v/>
      </c>
    </row>
    <row r="51" spans="1:29" hidden="1" outlineLevel="1" x14ac:dyDescent="0.25">
      <c r="A51" s="22" t="s">
        <v>83</v>
      </c>
      <c r="B51" s="41" t="str">
        <f t="shared" si="1"/>
        <v/>
      </c>
      <c r="C51" s="42">
        <f t="shared" si="2"/>
        <v>50</v>
      </c>
      <c r="D51" s="38"/>
      <c r="E51" s="38"/>
      <c r="F51" s="38"/>
      <c r="G51" s="38"/>
      <c r="H51" s="38"/>
      <c r="I51" s="38" t="s">
        <v>9</v>
      </c>
      <c r="J51" s="38"/>
      <c r="K51" s="164" t="s">
        <v>18</v>
      </c>
      <c r="L51" s="168" t="s">
        <v>32</v>
      </c>
      <c r="M51" s="181" t="s">
        <v>410</v>
      </c>
      <c r="N51" s="160" t="s">
        <v>411</v>
      </c>
      <c r="O51" s="160" t="s">
        <v>133</v>
      </c>
      <c r="P51" s="172" t="s">
        <v>309</v>
      </c>
      <c r="Q51" s="163"/>
      <c r="R51" s="163" t="s">
        <v>102</v>
      </c>
      <c r="S51" s="163" t="s">
        <v>111</v>
      </c>
      <c r="T51" s="164" t="s">
        <v>309</v>
      </c>
      <c r="U51" s="164"/>
      <c r="V51" s="164" t="s">
        <v>412</v>
      </c>
      <c r="W51" s="165"/>
      <c r="Y51" s="164" t="s">
        <v>413</v>
      </c>
      <c r="Z51" s="59" t="str">
        <f>IF(OR($M51="",NOT($O51="{array}")),"",IFERROR(MATCH(PARAMETERS!$M51,DEFAULT!$B$5:$BZ$5,0),""))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IF($AA51="","",IF($B51="I",VLOOKUP($AA51,#REF!,53,0),INDEX(VALUES!$B$1:$AO$1,1,$AA51)))</f>
        <v/>
      </c>
    </row>
    <row r="52" spans="1:29" hidden="1" outlineLevel="1" x14ac:dyDescent="0.25">
      <c r="A52" s="22" t="s">
        <v>83</v>
      </c>
      <c r="B52" s="41" t="str">
        <f t="shared" si="1"/>
        <v/>
      </c>
      <c r="C52" s="42">
        <f t="shared" si="2"/>
        <v>51</v>
      </c>
      <c r="D52" s="38"/>
      <c r="E52" s="38"/>
      <c r="F52" s="38"/>
      <c r="G52" s="38"/>
      <c r="H52" s="38"/>
      <c r="I52" s="38" t="s">
        <v>9</v>
      </c>
      <c r="J52" s="38"/>
      <c r="K52" s="167" t="s">
        <v>18</v>
      </c>
      <c r="L52" s="168" t="s">
        <v>32</v>
      </c>
      <c r="M52" s="181" t="s">
        <v>414</v>
      </c>
      <c r="N52" s="164" t="s">
        <v>415</v>
      </c>
      <c r="O52" s="160" t="s">
        <v>133</v>
      </c>
      <c r="P52" s="161" t="s">
        <v>309</v>
      </c>
      <c r="Q52" s="163" t="s">
        <v>9</v>
      </c>
      <c r="R52" s="163" t="s">
        <v>102</v>
      </c>
      <c r="S52" s="163" t="s">
        <v>111</v>
      </c>
      <c r="T52" s="164" t="s">
        <v>309</v>
      </c>
      <c r="U52" s="164"/>
      <c r="V52" s="164" t="s">
        <v>415</v>
      </c>
      <c r="W52" s="165"/>
      <c r="Y52" s="164" t="s">
        <v>416</v>
      </c>
      <c r="Z52" s="59" t="str">
        <f>IF(OR($M52="",NOT($O52="{array}")),"",IFERROR(MATCH(PARAMETERS!$M52,DEFAULT!$B$5:$BZ$5,0),""))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IF($AA52="","",IF($B52="I",VLOOKUP($AA52,#REF!,53,0),INDEX(VALUES!$B$1:$AO$1,1,$AA52)))</f>
        <v/>
      </c>
    </row>
    <row r="53" spans="1:29" hidden="1" outlineLevel="1" x14ac:dyDescent="0.25">
      <c r="A53" s="22" t="s">
        <v>83</v>
      </c>
      <c r="B53" s="41" t="str">
        <f t="shared" si="1"/>
        <v/>
      </c>
      <c r="C53" s="42">
        <f t="shared" si="2"/>
        <v>52</v>
      </c>
      <c r="D53" s="38"/>
      <c r="E53" s="38"/>
      <c r="F53" s="38"/>
      <c r="G53" s="38"/>
      <c r="H53" s="38"/>
      <c r="I53" s="38" t="s">
        <v>9</v>
      </c>
      <c r="J53" s="38"/>
      <c r="K53" s="167" t="s">
        <v>18</v>
      </c>
      <c r="L53" s="168" t="s">
        <v>32</v>
      </c>
      <c r="M53" s="181" t="s">
        <v>417</v>
      </c>
      <c r="N53" s="167" t="s">
        <v>418</v>
      </c>
      <c r="O53" s="160" t="s">
        <v>133</v>
      </c>
      <c r="P53" s="161" t="s">
        <v>309</v>
      </c>
      <c r="Q53" s="172" t="s">
        <v>9</v>
      </c>
      <c r="R53" s="172" t="s">
        <v>102</v>
      </c>
      <c r="S53" s="172" t="s">
        <v>111</v>
      </c>
      <c r="T53" s="167" t="s">
        <v>101</v>
      </c>
      <c r="U53" s="167"/>
      <c r="V53" s="167" t="s">
        <v>418</v>
      </c>
      <c r="W53" s="15"/>
      <c r="Y53" s="167" t="s">
        <v>419</v>
      </c>
      <c r="Z53" s="59" t="str">
        <f>IF(OR($M53="",NOT($O53="{array}")),"",IFERROR(MATCH(PARAMETERS!$M53,DEFAULT!$B$5:$BZ$5,0),""))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IF($AA53="","",IF($B53="I",VLOOKUP($AA53,#REF!,53,0),INDEX(VALUES!$B$1:$AO$1,1,$AA53)))</f>
        <v/>
      </c>
    </row>
    <row r="54" spans="1:29" hidden="1" outlineLevel="1" x14ac:dyDescent="0.3">
      <c r="A54" s="22" t="s">
        <v>83</v>
      </c>
      <c r="B54" s="41" t="str">
        <f t="shared" si="1"/>
        <v/>
      </c>
      <c r="C54" s="42">
        <f t="shared" si="2"/>
        <v>53</v>
      </c>
      <c r="D54" s="38"/>
      <c r="E54" s="38"/>
      <c r="F54" s="38"/>
      <c r="G54" s="38"/>
      <c r="H54" s="38"/>
      <c r="I54" s="38" t="s">
        <v>9</v>
      </c>
      <c r="J54" s="38"/>
      <c r="K54" s="164" t="s">
        <v>18</v>
      </c>
      <c r="L54" s="168" t="s">
        <v>32</v>
      </c>
      <c r="M54" s="203" t="s">
        <v>420</v>
      </c>
      <c r="N54" s="164" t="s">
        <v>421</v>
      </c>
      <c r="O54" s="160" t="s">
        <v>133</v>
      </c>
      <c r="P54" s="166" t="s">
        <v>309</v>
      </c>
      <c r="Q54" s="163" t="s">
        <v>9</v>
      </c>
      <c r="R54" s="163" t="s">
        <v>102</v>
      </c>
      <c r="S54" s="163" t="s">
        <v>111</v>
      </c>
      <c r="T54" s="164" t="s">
        <v>309</v>
      </c>
      <c r="U54" s="164"/>
      <c r="V54" s="164" t="s">
        <v>421</v>
      </c>
      <c r="W54" s="165"/>
      <c r="Y54" s="164" t="s">
        <v>422</v>
      </c>
      <c r="Z54" s="59" t="str">
        <f>IF(OR($M54="",NOT($O54="{array}")),"",IFERROR(MATCH(PARAMETERS!$M54,DEFAULT!$B$5:$BZ$5,0),""))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IF($AA54="","",IF($B54="I",VLOOKUP($AA54,#REF!,53,0),INDEX(VALUES!$B$1:$AO$1,1,$AA54)))</f>
        <v/>
      </c>
    </row>
    <row r="55" spans="1:29" collapsed="1" x14ac:dyDescent="0.3">
      <c r="A55" s="22"/>
      <c r="B55" s="41" t="str">
        <f t="shared" si="1"/>
        <v/>
      </c>
      <c r="C55" s="42">
        <f t="shared" si="2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213" t="s">
        <v>423</v>
      </c>
      <c r="N55" s="41" t="s">
        <v>424</v>
      </c>
      <c r="R55" s="38" t="s">
        <v>102</v>
      </c>
      <c r="S55" s="38"/>
      <c r="T55" s="38"/>
      <c r="W55" s="15"/>
      <c r="Y55" s="53"/>
      <c r="Z55" s="59" t="str">
        <f>IF(OR($M55="",NOT($O55="{array}")),"",IFERROR(MATCH(PARAMETERS!$M55,DEFAULT!$B$5:$BZ$5,0),""))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IF($AA55="","",IF($B55="I",VLOOKUP($AA55,#REF!,53,0),INDEX(VALUES!$B$1:$AO$1,1,$AA55)))</f>
        <v/>
      </c>
    </row>
    <row r="56" spans="1:29" hidden="1" outlineLevel="1" x14ac:dyDescent="0.3">
      <c r="A56" s="22" t="s">
        <v>83</v>
      </c>
      <c r="B56" s="41" t="str">
        <f t="shared" si="1"/>
        <v/>
      </c>
      <c r="C56" s="42">
        <f t="shared" si="2"/>
        <v>55</v>
      </c>
      <c r="D56" s="38"/>
      <c r="E56" s="38"/>
      <c r="F56" s="38"/>
      <c r="G56" s="38"/>
      <c r="H56" s="38"/>
      <c r="I56" s="38" t="s">
        <v>9</v>
      </c>
      <c r="J56" s="38"/>
      <c r="K56" s="178" t="s">
        <v>18</v>
      </c>
      <c r="L56" s="146" t="s">
        <v>21</v>
      </c>
      <c r="M56" s="203" t="s">
        <v>425</v>
      </c>
      <c r="N56" s="187" t="s">
        <v>426</v>
      </c>
      <c r="O56" s="160" t="s">
        <v>133</v>
      </c>
      <c r="Q56" s="188"/>
      <c r="R56" s="188" t="s">
        <v>102</v>
      </c>
      <c r="S56" s="188" t="s">
        <v>111</v>
      </c>
      <c r="T56" s="38"/>
      <c r="U56" s="187"/>
      <c r="V56" s="187"/>
      <c r="W56" s="15"/>
      <c r="Y56" s="187" t="s">
        <v>427</v>
      </c>
      <c r="Z56" s="59" t="str">
        <f>IF(OR($M56="",NOT($O56="{array}")),"",IFERROR(MATCH(PARAMETERS!$M56,DEFAULT!$B$5:$BZ$5,0),""))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IF($AA56="","",IF($B56="I",VLOOKUP($AA56,#REF!,53,0),INDEX(VALUES!$B$1:$AO$1,1,$AA56)))</f>
        <v/>
      </c>
    </row>
    <row r="57" spans="1:29" hidden="1" outlineLevel="1" x14ac:dyDescent="0.3">
      <c r="A57" s="22" t="s">
        <v>83</v>
      </c>
      <c r="B57" s="41" t="str">
        <f t="shared" si="1"/>
        <v/>
      </c>
      <c r="C57" s="42">
        <f t="shared" si="2"/>
        <v>56</v>
      </c>
      <c r="D57" s="38"/>
      <c r="E57" s="38"/>
      <c r="F57" s="38"/>
      <c r="G57" s="38"/>
      <c r="H57" s="38"/>
      <c r="I57" s="38" t="s">
        <v>9</v>
      </c>
      <c r="J57" s="38"/>
      <c r="K57" s="178" t="s">
        <v>18</v>
      </c>
      <c r="L57" s="146" t="s">
        <v>21</v>
      </c>
      <c r="M57" s="203" t="s">
        <v>428</v>
      </c>
      <c r="N57" s="187" t="s">
        <v>429</v>
      </c>
      <c r="O57" s="160" t="s">
        <v>133</v>
      </c>
      <c r="Q57" s="188"/>
      <c r="R57" s="188" t="s">
        <v>102</v>
      </c>
      <c r="S57" s="188" t="s">
        <v>111</v>
      </c>
      <c r="T57" s="38"/>
      <c r="U57" s="187"/>
      <c r="V57" s="187"/>
      <c r="W57" s="15"/>
      <c r="Y57" s="187" t="s">
        <v>427</v>
      </c>
      <c r="Z57" s="59" t="str">
        <f>IF(OR($M57="",NOT($O57="{array}")),"",IFERROR(MATCH(PARAMETERS!$M57,DEFAULT!$B$5:$BZ$5,0),""))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IF($AA57="","",IF($B57="I",VLOOKUP($AA57,#REF!,53,0),INDEX(VALUES!$B$1:$AO$1,1,$AA57)))</f>
        <v/>
      </c>
    </row>
    <row r="58" spans="1:29" hidden="1" outlineLevel="1" x14ac:dyDescent="0.3">
      <c r="A58" s="22" t="s">
        <v>83</v>
      </c>
      <c r="B58" s="41" t="str">
        <f t="shared" si="1"/>
        <v/>
      </c>
      <c r="C58" s="42">
        <f t="shared" si="2"/>
        <v>57</v>
      </c>
      <c r="D58" s="38"/>
      <c r="E58" s="38"/>
      <c r="F58" s="38"/>
      <c r="G58" s="38"/>
      <c r="H58" s="38"/>
      <c r="I58" s="38" t="s">
        <v>9</v>
      </c>
      <c r="J58" s="38"/>
      <c r="K58" s="178" t="s">
        <v>18</v>
      </c>
      <c r="L58" s="146" t="s">
        <v>21</v>
      </c>
      <c r="M58" s="203" t="s">
        <v>430</v>
      </c>
      <c r="N58" s="187" t="s">
        <v>431</v>
      </c>
      <c r="O58" s="160" t="s">
        <v>133</v>
      </c>
      <c r="Q58" s="188"/>
      <c r="R58" s="188" t="s">
        <v>102</v>
      </c>
      <c r="S58" s="188" t="s">
        <v>111</v>
      </c>
      <c r="T58" s="38"/>
      <c r="U58" s="187"/>
      <c r="V58" s="187"/>
      <c r="W58" s="15"/>
      <c r="Y58" s="187" t="s">
        <v>432</v>
      </c>
      <c r="Z58" s="59" t="str">
        <f>IF(OR($M58="",NOT($O58="{array}")),"",IFERROR(MATCH(PARAMETERS!$M58,DEFAULT!$B$5:$BZ$5,0),""))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IF($AA58="","",IF($B58="I",VLOOKUP($AA58,#REF!,53,0),INDEX(VALUES!$B$1:$AO$1,1,$AA58)))</f>
        <v/>
      </c>
    </row>
    <row r="59" spans="1:29" hidden="1" outlineLevel="1" x14ac:dyDescent="0.3">
      <c r="A59" s="22" t="s">
        <v>83</v>
      </c>
      <c r="B59" s="41" t="str">
        <f t="shared" si="1"/>
        <v/>
      </c>
      <c r="C59" s="42">
        <f t="shared" si="2"/>
        <v>58</v>
      </c>
      <c r="D59" s="38"/>
      <c r="E59" s="38"/>
      <c r="F59" s="38"/>
      <c r="G59" s="38"/>
      <c r="H59" s="38"/>
      <c r="I59" s="38" t="s">
        <v>9</v>
      </c>
      <c r="J59" s="38"/>
      <c r="K59" s="178" t="s">
        <v>18</v>
      </c>
      <c r="L59" s="146" t="s">
        <v>21</v>
      </c>
      <c r="M59" s="203" t="s">
        <v>433</v>
      </c>
      <c r="N59" s="187" t="s">
        <v>434</v>
      </c>
      <c r="O59" s="160" t="s">
        <v>133</v>
      </c>
      <c r="Q59" s="188"/>
      <c r="R59" s="188" t="s">
        <v>102</v>
      </c>
      <c r="S59" s="188" t="s">
        <v>111</v>
      </c>
      <c r="T59" s="38"/>
      <c r="U59" s="187"/>
      <c r="V59" s="187"/>
      <c r="W59" s="15"/>
      <c r="Y59" s="187" t="s">
        <v>432</v>
      </c>
      <c r="Z59" s="59" t="str">
        <f>IF(OR($M59="",NOT($O59="{array}")),"",IFERROR(MATCH(PARAMETERS!$M59,DEFAULT!$B$5:$BZ$5,0),""))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IF($AA59="","",IF($B59="I",VLOOKUP($AA59,#REF!,53,0),INDEX(VALUES!$B$1:$AO$1,1,$AA59)))</f>
        <v/>
      </c>
    </row>
    <row r="60" spans="1:29" hidden="1" outlineLevel="1" x14ac:dyDescent="0.3">
      <c r="A60" s="22" t="s">
        <v>83</v>
      </c>
      <c r="B60" s="41" t="str">
        <f t="shared" si="1"/>
        <v/>
      </c>
      <c r="C60" s="42">
        <f t="shared" si="2"/>
        <v>59</v>
      </c>
      <c r="D60" s="38"/>
      <c r="E60" s="38"/>
      <c r="F60" s="38"/>
      <c r="G60" s="38"/>
      <c r="H60" s="38"/>
      <c r="I60" s="38" t="s">
        <v>9</v>
      </c>
      <c r="J60" s="38"/>
      <c r="K60" s="178" t="s">
        <v>18</v>
      </c>
      <c r="L60" s="146" t="s">
        <v>21</v>
      </c>
      <c r="M60" s="203" t="s">
        <v>435</v>
      </c>
      <c r="N60" s="187" t="s">
        <v>436</v>
      </c>
      <c r="O60" s="160" t="s">
        <v>133</v>
      </c>
      <c r="Q60" s="188"/>
      <c r="R60" s="188" t="s">
        <v>102</v>
      </c>
      <c r="S60" s="188" t="s">
        <v>111</v>
      </c>
      <c r="T60" s="38"/>
      <c r="U60" s="187"/>
      <c r="V60" s="187"/>
      <c r="W60" s="15"/>
      <c r="Y60" s="187" t="s">
        <v>437</v>
      </c>
      <c r="Z60" s="59" t="str">
        <f>IF(OR($M60="",NOT($O60="{array}")),"",IFERROR(MATCH(PARAMETERS!$M60,DEFAULT!$B$5:$BZ$5,0),""))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IF($AA60="","",IF($B60="I",VLOOKUP($AA60,#REF!,53,0),INDEX(VALUES!$B$1:$AO$1,1,$AA60)))</f>
        <v/>
      </c>
    </row>
    <row r="61" spans="1:29" hidden="1" outlineLevel="1" x14ac:dyDescent="0.3">
      <c r="A61" s="22" t="s">
        <v>83</v>
      </c>
      <c r="B61" s="41" t="str">
        <f t="shared" si="1"/>
        <v/>
      </c>
      <c r="C61" s="42">
        <f t="shared" si="2"/>
        <v>60</v>
      </c>
      <c r="D61" s="38"/>
      <c r="E61" s="38"/>
      <c r="F61" s="38"/>
      <c r="G61" s="38"/>
      <c r="H61" s="38"/>
      <c r="I61" s="38" t="s">
        <v>9</v>
      </c>
      <c r="J61" s="38"/>
      <c r="K61" s="178" t="s">
        <v>18</v>
      </c>
      <c r="L61" s="146" t="s">
        <v>21</v>
      </c>
      <c r="M61" s="203" t="s">
        <v>438</v>
      </c>
      <c r="N61" s="187" t="s">
        <v>439</v>
      </c>
      <c r="O61" s="160" t="s">
        <v>133</v>
      </c>
      <c r="Q61" s="188"/>
      <c r="R61" s="188" t="s">
        <v>102</v>
      </c>
      <c r="S61" s="188" t="s">
        <v>111</v>
      </c>
      <c r="T61" s="38"/>
      <c r="U61" s="187"/>
      <c r="V61" s="187"/>
      <c r="W61" s="15"/>
      <c r="Y61" s="187" t="s">
        <v>440</v>
      </c>
      <c r="Z61" s="59" t="str">
        <f>IF(OR($M61="",NOT($O61="{array}")),"",IFERROR(MATCH(PARAMETERS!$M61,DEFAULT!$B$5:$BZ$5,0),""))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IF($AA61="","",IF($B61="I",VLOOKUP($AA61,#REF!,53,0),INDEX(VALUES!$B$1:$AO$1,1,$AA61)))</f>
        <v/>
      </c>
    </row>
    <row r="62" spans="1:29" hidden="1" outlineLevel="1" x14ac:dyDescent="0.3">
      <c r="A62" s="22" t="s">
        <v>83</v>
      </c>
      <c r="B62" s="41" t="str">
        <f t="shared" si="1"/>
        <v/>
      </c>
      <c r="C62" s="42">
        <f t="shared" si="2"/>
        <v>61</v>
      </c>
      <c r="D62" s="38"/>
      <c r="E62" s="38"/>
      <c r="F62" s="38"/>
      <c r="G62" s="38"/>
      <c r="H62" s="38"/>
      <c r="I62" s="38" t="s">
        <v>9</v>
      </c>
      <c r="J62" s="38"/>
      <c r="K62" s="178" t="s">
        <v>18</v>
      </c>
      <c r="L62" s="146" t="s">
        <v>21</v>
      </c>
      <c r="M62" s="203" t="s">
        <v>441</v>
      </c>
      <c r="N62" s="187" t="s">
        <v>442</v>
      </c>
      <c r="O62" s="160" t="s">
        <v>133</v>
      </c>
      <c r="Q62" s="188"/>
      <c r="R62" s="188" t="s">
        <v>102</v>
      </c>
      <c r="S62" s="188" t="s">
        <v>111</v>
      </c>
      <c r="T62" s="38"/>
      <c r="U62" s="187"/>
      <c r="V62" s="187"/>
      <c r="W62" s="15"/>
      <c r="Y62" s="187" t="s">
        <v>443</v>
      </c>
      <c r="Z62" s="59" t="str">
        <f>IF(OR($M62="",NOT($O62="{array}")),"",IFERROR(MATCH(PARAMETERS!$M62,DEFAULT!$B$5:$BZ$5,0),""))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IF($AA62="","",IF($B62="I",VLOOKUP($AA62,#REF!,53,0),INDEX(VALUES!$B$1:$AO$1,1,$AA62)))</f>
        <v/>
      </c>
    </row>
    <row r="63" spans="1:29" collapsed="1" x14ac:dyDescent="0.3">
      <c r="A63" s="22" t="s">
        <v>444</v>
      </c>
      <c r="B63" s="41"/>
      <c r="C63" s="42"/>
      <c r="D63" s="38"/>
      <c r="E63" s="38"/>
      <c r="F63" s="38"/>
      <c r="G63" s="38"/>
      <c r="H63" s="38"/>
      <c r="I63" s="38"/>
      <c r="J63" s="38"/>
      <c r="M63" s="211"/>
      <c r="R63" s="38"/>
      <c r="S63" s="38"/>
      <c r="T63" s="38"/>
      <c r="W63" s="15"/>
      <c r="Z63" s="59" t="str">
        <f>IF(OR($M63="",NOT($O63="{array}")),"",IFERROR(MATCH(PARAMETERS!$M63,DEFAULT!$B$5:$BZ$5,0),""))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IF($AA63="","",IF($B63="I",VLOOKUP($AA63,#REF!,53,0),INDEX(VALUES!$B$1:$AO$1,1,$AA63)))</f>
        <v/>
      </c>
    </row>
    <row r="64" spans="1:29" x14ac:dyDescent="0.3">
      <c r="A64" s="22" t="s">
        <v>83</v>
      </c>
      <c r="B64" s="41" t="str">
        <f t="shared" ref="B64:B117" si="3">IF($A64="P",IF(NOT($Z64=""),"A",IF(NOT($AA64=""),"I","")),IF(NOT($AA64=""),IF($A64="G","V","X"),IF(NOT($Z64=""),"A","")))</f>
        <v/>
      </c>
      <c r="C64" s="42">
        <f t="shared" ref="C64:C117" si="4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213" t="s">
        <v>445</v>
      </c>
      <c r="N64" s="41" t="s">
        <v>446</v>
      </c>
      <c r="R64" s="38" t="s">
        <v>197</v>
      </c>
      <c r="S64" s="38"/>
      <c r="T64" s="15"/>
      <c r="W64" s="15" t="s">
        <v>309</v>
      </c>
      <c r="Z64" s="59" t="str">
        <f>IF(OR($M64="",NOT($O64="{array}")),"",IFERROR(MATCH(PARAMETERS!$M64,DEFAULT!$B$5:$BZ$5,0),""))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IF($AA64="","",IF($B64="I",VLOOKUP($AA64,#REF!,53,0),INDEX(VALUES!$B$1:$AO$1,1,$AA64)))</f>
        <v/>
      </c>
    </row>
    <row r="65" spans="1:29" hidden="1" outlineLevel="1" x14ac:dyDescent="0.3">
      <c r="A65" s="22" t="s">
        <v>83</v>
      </c>
      <c r="B65" s="41" t="str">
        <f t="shared" si="3"/>
        <v/>
      </c>
      <c r="C65" s="42">
        <f t="shared" si="4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60" t="s">
        <v>18</v>
      </c>
      <c r="L65" s="168" t="s">
        <v>21</v>
      </c>
      <c r="M65" s="203" t="s">
        <v>447</v>
      </c>
      <c r="N65" s="160" t="s">
        <v>448</v>
      </c>
      <c r="O65" s="164" t="s">
        <v>449</v>
      </c>
      <c r="P65" s="166" t="s">
        <v>309</v>
      </c>
      <c r="Q65" s="163"/>
      <c r="R65" s="163" t="s">
        <v>102</v>
      </c>
      <c r="S65" s="163" t="s">
        <v>111</v>
      </c>
      <c r="T65" s="162" t="s">
        <v>101</v>
      </c>
      <c r="U65" s="164" t="s">
        <v>309</v>
      </c>
      <c r="V65" s="164" t="s">
        <v>450</v>
      </c>
      <c r="W65" s="165" t="s">
        <v>309</v>
      </c>
      <c r="Y65" s="164" t="s">
        <v>451</v>
      </c>
      <c r="Z65" s="59" t="str">
        <f>IF(OR($M65="",NOT($O65="{array}")),"",IFERROR(MATCH(PARAMETERS!$M65,DEFAULT!$B$5:$BZ$5,0),""))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IF($AA65="","",IF($B65="I",VLOOKUP($AA65,#REF!,53,0),INDEX(VALUES!$B$1:$AO$1,1,$AA65)))</f>
        <v/>
      </c>
    </row>
    <row r="66" spans="1:29" hidden="1" outlineLevel="1" x14ac:dyDescent="0.3">
      <c r="A66" s="22" t="s">
        <v>83</v>
      </c>
      <c r="B66" s="41" t="str">
        <f t="shared" si="3"/>
        <v/>
      </c>
      <c r="C66" s="42">
        <f t="shared" si="4"/>
        <v>65</v>
      </c>
      <c r="D66" s="38"/>
      <c r="E66" s="38"/>
      <c r="F66" s="38"/>
      <c r="G66" s="38"/>
      <c r="H66" s="38"/>
      <c r="I66" s="38" t="s">
        <v>9</v>
      </c>
      <c r="J66" s="38"/>
      <c r="K66" s="160" t="s">
        <v>18</v>
      </c>
      <c r="L66" s="168" t="s">
        <v>21</v>
      </c>
      <c r="M66" s="203" t="s">
        <v>452</v>
      </c>
      <c r="N66" s="164" t="s">
        <v>453</v>
      </c>
      <c r="O66" s="164" t="s">
        <v>221</v>
      </c>
      <c r="P66" s="161" t="s">
        <v>309</v>
      </c>
      <c r="Q66" s="172"/>
      <c r="R66" s="163" t="s">
        <v>102</v>
      </c>
      <c r="S66" s="163" t="s">
        <v>111</v>
      </c>
      <c r="T66" s="162" t="s">
        <v>309</v>
      </c>
      <c r="U66" s="164" t="s">
        <v>309</v>
      </c>
      <c r="V66" s="164" t="s">
        <v>454</v>
      </c>
      <c r="W66" s="165" t="s">
        <v>309</v>
      </c>
      <c r="Y66" s="164" t="s">
        <v>455</v>
      </c>
      <c r="Z66" s="59" t="str">
        <f>IF(OR($M66="",NOT($O66="{array}")),"",IFERROR(MATCH(PARAMETERS!$M66,DEFAULT!$B$5:$BZ$5,0),""))</f>
        <v/>
      </c>
      <c r="AA66" s="56" t="str">
        <f t="shared" ref="AA66:AA110" si="5">IF($M66="","",IFERROR(MATCH($M66,VALUESnames,0),""))</f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IF($AA66="","",IF($B66="I",VLOOKUP($AA66,#REF!,53,0),INDEX(VALUES!$B$1:$AO$1,1,$AA66)))</f>
        <v/>
      </c>
    </row>
    <row r="67" spans="1:29" hidden="1" outlineLevel="1" x14ac:dyDescent="0.3">
      <c r="A67" s="22" t="s">
        <v>83</v>
      </c>
      <c r="B67" s="41" t="str">
        <f t="shared" si="3"/>
        <v/>
      </c>
      <c r="C67" s="42">
        <f t="shared" si="4"/>
        <v>66</v>
      </c>
      <c r="D67" s="38"/>
      <c r="E67" s="38"/>
      <c r="F67" s="38"/>
      <c r="G67" s="38"/>
      <c r="H67" s="38"/>
      <c r="I67" s="38" t="s">
        <v>9</v>
      </c>
      <c r="J67" s="38"/>
      <c r="K67" s="14" t="s">
        <v>47</v>
      </c>
      <c r="L67" s="14" t="s">
        <v>27</v>
      </c>
      <c r="M67" s="211" t="s">
        <v>456</v>
      </c>
      <c r="N67" s="14" t="s">
        <v>457</v>
      </c>
      <c r="O67" s="43">
        <v>0</v>
      </c>
      <c r="R67" s="38" t="s">
        <v>103</v>
      </c>
      <c r="S67" s="38"/>
      <c r="T67" s="38"/>
      <c r="W67" s="15" t="s">
        <v>309</v>
      </c>
      <c r="Z67" s="59" t="str">
        <f>IF(OR($M67="",NOT($O67="{array}")),"",IFERROR(MATCH(PARAMETERS!$M67,DEFAULT!$B$5:$BZ$5,0),""))</f>
        <v/>
      </c>
      <c r="AA67" s="56" t="str">
        <f t="shared" si="5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IF($AA67="","",IF($B67="I",VLOOKUP($AA67,#REF!,53,0),INDEX(VALUES!$B$1:$AO$1,1,$AA67)))</f>
        <v/>
      </c>
    </row>
    <row r="68" spans="1:29" hidden="1" outlineLevel="1" x14ac:dyDescent="0.3">
      <c r="A68" s="22" t="s">
        <v>83</v>
      </c>
      <c r="B68" s="41" t="str">
        <f t="shared" si="3"/>
        <v/>
      </c>
      <c r="C68" s="42">
        <f t="shared" si="4"/>
        <v>67</v>
      </c>
      <c r="D68" s="38"/>
      <c r="E68" s="38"/>
      <c r="F68" s="38"/>
      <c r="G68" s="38"/>
      <c r="H68" s="38"/>
      <c r="I68" s="38" t="s">
        <v>9</v>
      </c>
      <c r="J68" s="38"/>
      <c r="K68" s="167" t="s">
        <v>44</v>
      </c>
      <c r="L68" s="168" t="s">
        <v>21</v>
      </c>
      <c r="M68" s="203" t="s">
        <v>458</v>
      </c>
      <c r="N68" s="160" t="s">
        <v>459</v>
      </c>
      <c r="O68" s="167">
        <v>1</v>
      </c>
      <c r="P68" s="161" t="s">
        <v>309</v>
      </c>
      <c r="Q68" s="190"/>
      <c r="R68" s="172" t="s">
        <v>102</v>
      </c>
      <c r="S68" s="172" t="s">
        <v>111</v>
      </c>
      <c r="T68" s="171" t="s">
        <v>309</v>
      </c>
      <c r="U68" s="167" t="s">
        <v>309</v>
      </c>
      <c r="V68" s="167" t="s">
        <v>460</v>
      </c>
      <c r="W68" s="15" t="s">
        <v>309</v>
      </c>
      <c r="Y68" s="167" t="s">
        <v>461</v>
      </c>
      <c r="Z68" s="59" t="str">
        <f>IF(OR($M68="",NOT($O68="{array}")),"",IFERROR(MATCH(PARAMETERS!$M68,DEFAULT!$B$5:$BZ$5,0),""))</f>
        <v/>
      </c>
      <c r="AA68" s="56" t="str">
        <f t="shared" si="5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IF($AA68="","",IF($B68="I",VLOOKUP($AA68,#REF!,53,0),INDEX(VALUES!$B$1:$AO$1,1,$AA68)))</f>
        <v/>
      </c>
    </row>
    <row r="69" spans="1:29" hidden="1" outlineLevel="1" x14ac:dyDescent="0.3">
      <c r="A69" s="22" t="s">
        <v>83</v>
      </c>
      <c r="B69" s="41" t="str">
        <f t="shared" si="3"/>
        <v>V</v>
      </c>
      <c r="C69" s="42">
        <f t="shared" si="4"/>
        <v>68</v>
      </c>
      <c r="D69" s="38"/>
      <c r="E69" s="38"/>
      <c r="F69" s="38" t="s">
        <v>9</v>
      </c>
      <c r="G69" s="38"/>
      <c r="H69" s="38"/>
      <c r="I69" s="38" t="s">
        <v>9</v>
      </c>
      <c r="J69" s="38"/>
      <c r="K69" s="53" t="s">
        <v>18</v>
      </c>
      <c r="L69" s="14" t="s">
        <v>27</v>
      </c>
      <c r="M69" s="181" t="s">
        <v>465</v>
      </c>
      <c r="N69" s="14" t="s">
        <v>466</v>
      </c>
      <c r="O69" s="43" t="s">
        <v>947</v>
      </c>
      <c r="R69" s="38" t="s">
        <v>103</v>
      </c>
      <c r="S69" s="38"/>
      <c r="T69" s="38"/>
      <c r="W69" s="15" t="s">
        <v>309</v>
      </c>
      <c r="Z69" s="59" t="str">
        <f>IF(OR($M69="",NOT($O69="{array}")),"",IFERROR(MATCH(PARAMETERS!$M69,DEFAULT!$B$5:$BZ$5,0),""))</f>
        <v/>
      </c>
      <c r="AA69" s="56">
        <f t="shared" si="5"/>
        <v>18</v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IF($AA69="","",IF($B69="I",VLOOKUP($AA69,#REF!,53,0),INDEX(VALUES!$B$1:$AO$1,1,$AA69)))</f>
        <v>- | L | R | LR</v>
      </c>
    </row>
    <row r="70" spans="1:29" hidden="1" outlineLevel="1" x14ac:dyDescent="0.3">
      <c r="A70" s="22" t="s">
        <v>83</v>
      </c>
      <c r="B70" s="41" t="str">
        <f t="shared" si="3"/>
        <v/>
      </c>
      <c r="C70" s="42">
        <f t="shared" si="4"/>
        <v>69</v>
      </c>
      <c r="D70" s="38"/>
      <c r="E70" s="38"/>
      <c r="F70" s="38" t="s">
        <v>9</v>
      </c>
      <c r="G70" s="38"/>
      <c r="H70" s="38"/>
      <c r="I70" s="38" t="s">
        <v>9</v>
      </c>
      <c r="J70" s="38"/>
      <c r="K70" s="146" t="s">
        <v>47</v>
      </c>
      <c r="L70" s="146" t="s">
        <v>27</v>
      </c>
      <c r="M70" s="214" t="s">
        <v>468</v>
      </c>
      <c r="N70" s="146" t="s">
        <v>469</v>
      </c>
      <c r="O70" s="205">
        <v>0</v>
      </c>
      <c r="P70" s="146"/>
      <c r="Q70" s="206"/>
      <c r="R70" s="206" t="s">
        <v>103</v>
      </c>
      <c r="S70" s="206"/>
      <c r="T70" s="206"/>
      <c r="U70" s="146"/>
      <c r="V70" s="146"/>
      <c r="W70" s="202" t="s">
        <v>103</v>
      </c>
      <c r="Y70" s="146" t="s">
        <v>470</v>
      </c>
      <c r="Z70" s="59" t="str">
        <f>IF(OR($M70="",NOT($O70="{array}")),"",IFERROR(MATCH(PARAMETERS!$M70,DEFAULT!$B$5:$BZ$5,0),""))</f>
        <v/>
      </c>
      <c r="AA70" s="56" t="str">
        <f t="shared" si="5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IF($AA70="","",IF($B70="I",VLOOKUP($AA70,#REF!,53,0),INDEX(VALUES!$B$1:$AO$1,1,$AA70)))</f>
        <v/>
      </c>
    </row>
    <row r="71" spans="1:29" hidden="1" outlineLevel="1" x14ac:dyDescent="0.3">
      <c r="A71" s="22" t="s">
        <v>83</v>
      </c>
      <c r="B71" s="41" t="str">
        <f t="shared" si="3"/>
        <v/>
      </c>
      <c r="C71" s="42">
        <f t="shared" si="4"/>
        <v>70</v>
      </c>
      <c r="D71" s="38"/>
      <c r="E71" s="38"/>
      <c r="F71" s="38" t="s">
        <v>9</v>
      </c>
      <c r="G71" s="38"/>
      <c r="H71" s="38"/>
      <c r="I71" s="38" t="s">
        <v>9</v>
      </c>
      <c r="J71" s="38"/>
      <c r="K71" s="146" t="s">
        <v>47</v>
      </c>
      <c r="L71" s="146" t="s">
        <v>27</v>
      </c>
      <c r="M71" s="214" t="s">
        <v>471</v>
      </c>
      <c r="N71" s="146" t="s">
        <v>472</v>
      </c>
      <c r="O71" s="205">
        <v>0</v>
      </c>
      <c r="P71" s="146"/>
      <c r="Q71" s="206"/>
      <c r="R71" s="206" t="s">
        <v>103</v>
      </c>
      <c r="S71" s="206"/>
      <c r="T71" s="206"/>
      <c r="U71" s="146"/>
      <c r="V71" s="146"/>
      <c r="W71" s="202" t="s">
        <v>103</v>
      </c>
      <c r="Y71" s="146" t="s">
        <v>473</v>
      </c>
      <c r="Z71" s="59" t="str">
        <f>IF(OR($M71="",NOT($O71="{array}")),"",IFERROR(MATCH(PARAMETERS!$M71,DEFAULT!$B$5:$BZ$5,0),""))</f>
        <v/>
      </c>
      <c r="AA71" s="56" t="str">
        <f t="shared" si="5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IF($AA71="","",IF($B71="I",VLOOKUP($AA71,#REF!,53,0),INDEX(VALUES!$B$1:$AO$1,1,$AA71)))</f>
        <v/>
      </c>
    </row>
    <row r="72" spans="1:29" hidden="1" outlineLevel="1" x14ac:dyDescent="0.3">
      <c r="A72" s="22" t="s">
        <v>83</v>
      </c>
      <c r="B72" s="41" t="str">
        <f t="shared" si="3"/>
        <v/>
      </c>
      <c r="C72" s="42">
        <f t="shared" si="4"/>
        <v>71</v>
      </c>
      <c r="D72" s="38"/>
      <c r="E72" s="38"/>
      <c r="F72" s="38"/>
      <c r="G72" s="38"/>
      <c r="H72" s="38"/>
      <c r="I72" s="38" t="s">
        <v>9</v>
      </c>
      <c r="J72" s="38"/>
      <c r="K72" s="14" t="s">
        <v>44</v>
      </c>
      <c r="L72" s="14" t="s">
        <v>21</v>
      </c>
      <c r="M72" s="211" t="s">
        <v>474</v>
      </c>
      <c r="N72" s="14" t="s">
        <v>475</v>
      </c>
      <c r="O72" s="43">
        <v>0</v>
      </c>
      <c r="R72" s="38" t="s">
        <v>103</v>
      </c>
      <c r="S72" s="38"/>
      <c r="T72" s="38"/>
      <c r="W72" s="15" t="s">
        <v>103</v>
      </c>
      <c r="Z72" s="59" t="str">
        <f>IF(OR($M72="",NOT($O72="{array}")),"",IFERROR(MATCH(PARAMETERS!$M72,DEFAULT!$B$5:$BZ$5,0),""))</f>
        <v/>
      </c>
      <c r="AA72" s="56" t="str">
        <f t="shared" si="5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IF($AA72="","",IF($B72="I",VLOOKUP($AA72,#REF!,53,0),INDEX(VALUES!$B$1:$AO$1,1,$AA72)))</f>
        <v/>
      </c>
    </row>
    <row r="73" spans="1:29" hidden="1" outlineLevel="1" x14ac:dyDescent="0.25">
      <c r="A73" s="22" t="s">
        <v>83</v>
      </c>
      <c r="B73" s="41" t="str">
        <f t="shared" si="3"/>
        <v/>
      </c>
      <c r="C73" s="42">
        <f t="shared" si="4"/>
        <v>72</v>
      </c>
      <c r="D73" s="38"/>
      <c r="E73" s="38"/>
      <c r="F73" s="38" t="s">
        <v>9</v>
      </c>
      <c r="G73" s="38"/>
      <c r="H73" s="38"/>
      <c r="I73" s="38" t="s">
        <v>9</v>
      </c>
      <c r="J73" s="38"/>
      <c r="K73" s="14" t="s">
        <v>18</v>
      </c>
      <c r="L73" s="14" t="s">
        <v>21</v>
      </c>
      <c r="M73" s="211" t="s">
        <v>476</v>
      </c>
      <c r="N73" s="14" t="s">
        <v>477</v>
      </c>
      <c r="O73" s="43" t="s">
        <v>478</v>
      </c>
      <c r="P73" s="161" t="s">
        <v>309</v>
      </c>
      <c r="Q73" s="172"/>
      <c r="R73" s="172" t="s">
        <v>102</v>
      </c>
      <c r="S73" s="172" t="s">
        <v>111</v>
      </c>
      <c r="T73" s="171" t="s">
        <v>309</v>
      </c>
      <c r="U73" s="167" t="s">
        <v>309</v>
      </c>
      <c r="V73" s="167" t="s">
        <v>479</v>
      </c>
      <c r="W73" s="15" t="s">
        <v>103</v>
      </c>
      <c r="Y73" s="167" t="s">
        <v>480</v>
      </c>
      <c r="Z73" s="59" t="str">
        <f>IF(OR($M73="",NOT($O73="{array}")),"",IFERROR(MATCH(PARAMETERS!$M73,DEFAULT!$B$5:$BZ$5,0),""))</f>
        <v/>
      </c>
      <c r="AA73" s="56" t="str">
        <f t="shared" si="5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IF($AA73="","",IF($B73="I",VLOOKUP($AA73,#REF!,53,0),INDEX(VALUES!$B$1:$AO$1,1,$AA73)))</f>
        <v/>
      </c>
    </row>
    <row r="74" spans="1:29" hidden="1" outlineLevel="1" x14ac:dyDescent="0.25">
      <c r="A74" s="22" t="s">
        <v>83</v>
      </c>
      <c r="B74" s="41" t="str">
        <f t="shared" si="3"/>
        <v/>
      </c>
      <c r="C74" s="42">
        <f t="shared" si="4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14" t="s">
        <v>18</v>
      </c>
      <c r="L74" s="14" t="s">
        <v>21</v>
      </c>
      <c r="M74" s="211" t="s">
        <v>1006</v>
      </c>
      <c r="N74" s="14" t="s">
        <v>1007</v>
      </c>
      <c r="O74" s="43" t="s">
        <v>948</v>
      </c>
      <c r="P74" s="161" t="s">
        <v>309</v>
      </c>
      <c r="Q74" s="172"/>
      <c r="R74" s="172" t="s">
        <v>102</v>
      </c>
      <c r="S74" s="172" t="s">
        <v>111</v>
      </c>
      <c r="T74" s="171" t="s">
        <v>309</v>
      </c>
      <c r="U74" s="167" t="s">
        <v>309</v>
      </c>
      <c r="V74" s="167"/>
      <c r="W74" s="15"/>
      <c r="Y74" s="167"/>
      <c r="Z74" s="59" t="str">
        <f>IF(OR($M74="",NOT($O74="{array}")),"",IFERROR(MATCH(PARAMETERS!$M74,DEFAULT!$B$5:$BZ$5,0),""))</f>
        <v/>
      </c>
      <c r="AA74" s="56" t="str">
        <f t="shared" si="5"/>
        <v/>
      </c>
      <c r="AC74" s="17"/>
    </row>
    <row r="75" spans="1:29" hidden="1" outlineLevel="1" x14ac:dyDescent="0.25">
      <c r="A75" s="22" t="s">
        <v>83</v>
      </c>
      <c r="B75" s="41" t="str">
        <f t="shared" si="3"/>
        <v/>
      </c>
      <c r="C75" s="42">
        <f t="shared" si="4"/>
        <v>74</v>
      </c>
      <c r="D75" s="38"/>
      <c r="E75" s="38"/>
      <c r="F75" s="38"/>
      <c r="G75" s="38"/>
      <c r="H75" s="38"/>
      <c r="I75" s="38" t="s">
        <v>9</v>
      </c>
      <c r="J75" s="38"/>
      <c r="K75" s="167" t="s">
        <v>44</v>
      </c>
      <c r="L75" s="168" t="s">
        <v>21</v>
      </c>
      <c r="M75" s="181" t="s">
        <v>481</v>
      </c>
      <c r="N75" s="167" t="s">
        <v>482</v>
      </c>
      <c r="O75" s="167">
        <v>0</v>
      </c>
      <c r="P75" s="161" t="s">
        <v>309</v>
      </c>
      <c r="Q75" s="172"/>
      <c r="R75" s="172" t="s">
        <v>102</v>
      </c>
      <c r="S75" s="172" t="s">
        <v>111</v>
      </c>
      <c r="T75" s="171" t="s">
        <v>309</v>
      </c>
      <c r="U75" s="167" t="s">
        <v>309</v>
      </c>
      <c r="V75" s="167" t="s">
        <v>483</v>
      </c>
      <c r="W75" s="15" t="s">
        <v>309</v>
      </c>
      <c r="Y75" s="167" t="s">
        <v>484</v>
      </c>
      <c r="Z75" s="59" t="str">
        <f>IF(OR($M75="",NOT($O75="{array}")),"",IFERROR(MATCH(PARAMETERS!$M75,DEFAULT!$B$5:$BZ$5,0),""))</f>
        <v/>
      </c>
      <c r="AA75" s="56" t="str">
        <f t="shared" si="5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IF($AA75="","",IF($B75="I",VLOOKUP($AA75,#REF!,53,0),INDEX(VALUES!$B$1:$AO$1,1,$AA75)))</f>
        <v/>
      </c>
    </row>
    <row r="76" spans="1:29" hidden="1" outlineLevel="1" x14ac:dyDescent="0.3">
      <c r="A76" s="22" t="s">
        <v>83</v>
      </c>
      <c r="B76" s="41" t="str">
        <f t="shared" si="3"/>
        <v/>
      </c>
      <c r="C76" s="42">
        <f t="shared" si="4"/>
        <v>75</v>
      </c>
      <c r="D76" s="38"/>
      <c r="E76" s="38"/>
      <c r="F76" s="38" t="s">
        <v>9</v>
      </c>
      <c r="G76" s="38"/>
      <c r="H76" s="38" t="s">
        <v>9</v>
      </c>
      <c r="I76" s="38"/>
      <c r="J76" s="38"/>
      <c r="K76" s="14" t="s">
        <v>47</v>
      </c>
      <c r="L76" s="14" t="s">
        <v>27</v>
      </c>
      <c r="M76" s="211" t="s">
        <v>485</v>
      </c>
      <c r="N76" s="14" t="s">
        <v>486</v>
      </c>
      <c r="O76" s="43">
        <v>0</v>
      </c>
      <c r="R76" s="38" t="s">
        <v>103</v>
      </c>
      <c r="S76" s="38"/>
      <c r="T76" s="38"/>
      <c r="W76" s="15" t="s">
        <v>103</v>
      </c>
      <c r="Z76" s="59" t="str">
        <f>IF(OR($M76="",NOT($O76="{array}")),"",IFERROR(MATCH(PARAMETERS!$M76,DEFAULT!$B$5:$BZ$5,0),""))</f>
        <v/>
      </c>
      <c r="AA76" s="56" t="str">
        <f t="shared" si="5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IF($AA76="","",IF($B76="I",VLOOKUP($AA76,#REF!,53,0),INDEX(VALUES!$B$1:$AO$1,1,$AA76)))</f>
        <v/>
      </c>
    </row>
    <row r="77" spans="1:29" hidden="1" outlineLevel="1" x14ac:dyDescent="0.3">
      <c r="A77" s="22" t="s">
        <v>83</v>
      </c>
      <c r="B77" s="41" t="str">
        <f t="shared" si="3"/>
        <v/>
      </c>
      <c r="C77" s="42">
        <f t="shared" si="4"/>
        <v>76</v>
      </c>
      <c r="D77" s="38"/>
      <c r="E77" s="38"/>
      <c r="F77" s="38" t="s">
        <v>9</v>
      </c>
      <c r="G77" s="38"/>
      <c r="H77" s="38" t="s">
        <v>9</v>
      </c>
      <c r="I77" s="38"/>
      <c r="J77" s="38"/>
      <c r="K77" s="14" t="s">
        <v>47</v>
      </c>
      <c r="L77" s="14" t="s">
        <v>27</v>
      </c>
      <c r="M77" s="211" t="s">
        <v>487</v>
      </c>
      <c r="N77" s="14" t="s">
        <v>488</v>
      </c>
      <c r="O77" s="43">
        <v>0</v>
      </c>
      <c r="R77" s="38" t="s">
        <v>103</v>
      </c>
      <c r="S77" s="38"/>
      <c r="T77" s="38"/>
      <c r="W77" s="15" t="s">
        <v>103</v>
      </c>
      <c r="Z77" s="59" t="str">
        <f>IF(OR($M77="",NOT($O77="{array}")),"",IFERROR(MATCH(PARAMETERS!$M77,DEFAULT!$B$5:$BZ$5,0),""))</f>
        <v/>
      </c>
      <c r="AA77" s="56" t="str">
        <f t="shared" si="5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IF($AA77="","",IF($B77="I",VLOOKUP($AA77,#REF!,53,0),INDEX(VALUES!$B$1:$AO$1,1,$AA77)))</f>
        <v/>
      </c>
    </row>
    <row r="78" spans="1:29" collapsed="1" x14ac:dyDescent="0.3">
      <c r="A78" s="22" t="s">
        <v>83</v>
      </c>
      <c r="B78" s="41" t="str">
        <f t="shared" si="3"/>
        <v/>
      </c>
      <c r="C78" s="42">
        <f t="shared" si="4"/>
        <v>77</v>
      </c>
      <c r="D78" s="38"/>
      <c r="E78" s="38"/>
      <c r="F78" s="38" t="s">
        <v>9</v>
      </c>
      <c r="G78" s="38"/>
      <c r="H78" s="38"/>
      <c r="I78" s="38"/>
      <c r="J78" s="38"/>
      <c r="K78" s="14" t="s">
        <v>57</v>
      </c>
      <c r="L78" s="14" t="s">
        <v>38</v>
      </c>
      <c r="M78" s="213" t="s">
        <v>489</v>
      </c>
      <c r="N78" s="41" t="s">
        <v>490</v>
      </c>
      <c r="R78" s="38" t="s">
        <v>103</v>
      </c>
      <c r="S78" s="38"/>
      <c r="T78" s="38"/>
      <c r="W78" s="15" t="s">
        <v>103</v>
      </c>
      <c r="Z78" s="59" t="str">
        <f>IF(OR($M78="",NOT($O78="{array}")),"",IFERROR(MATCH(PARAMETERS!$M78,DEFAULT!$B$5:$BZ$5,0),""))</f>
        <v/>
      </c>
      <c r="AA78" s="56" t="str">
        <f t="shared" si="5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IF($AA78="","",IF($B78="I",VLOOKUP($AA78,#REF!,53,0),INDEX(VALUES!$B$1:$AO$1,1,$AA78)))</f>
        <v/>
      </c>
    </row>
    <row r="79" spans="1:29" hidden="1" outlineLevel="1" x14ac:dyDescent="0.3">
      <c r="A79" s="22" t="s">
        <v>83</v>
      </c>
      <c r="B79" s="41" t="str">
        <f t="shared" si="3"/>
        <v/>
      </c>
      <c r="C79" s="42">
        <f t="shared" si="4"/>
        <v>78</v>
      </c>
      <c r="D79" s="208" t="s">
        <v>9</v>
      </c>
      <c r="E79" s="38"/>
      <c r="F79" s="209" t="s">
        <v>9</v>
      </c>
      <c r="G79" s="197"/>
      <c r="H79" s="38"/>
      <c r="I79" s="38" t="s">
        <v>9</v>
      </c>
      <c r="J79" s="38"/>
      <c r="K79" s="14" t="s">
        <v>24</v>
      </c>
      <c r="L79" s="14" t="s">
        <v>27</v>
      </c>
      <c r="M79" s="211" t="s">
        <v>491</v>
      </c>
      <c r="N79" s="14" t="s">
        <v>492</v>
      </c>
      <c r="O79" s="43">
        <v>5.0000000000000001E-3</v>
      </c>
      <c r="R79" s="38" t="s">
        <v>103</v>
      </c>
      <c r="S79" s="38"/>
      <c r="T79" s="38"/>
      <c r="W79" s="15" t="s">
        <v>103</v>
      </c>
      <c r="Y79" s="14" t="s">
        <v>493</v>
      </c>
      <c r="Z79" s="59" t="str">
        <f>IF(OR($M79="",NOT($O79="{array}")),"",IFERROR(MATCH(PARAMETERS!$M79,DEFAULT!$B$5:$BZ$5,0),""))</f>
        <v/>
      </c>
      <c r="AA79" s="56" t="str">
        <f t="shared" si="5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IF($AA79="","",IF($B79="I",VLOOKUP($AA79,#REF!,53,0),INDEX(VALUES!$B$1:$AO$1,1,$AA79)))</f>
        <v/>
      </c>
    </row>
    <row r="80" spans="1:29" hidden="1" outlineLevel="1" x14ac:dyDescent="0.3">
      <c r="A80" s="22" t="s">
        <v>83</v>
      </c>
      <c r="B80" s="41" t="str">
        <f t="shared" si="3"/>
        <v/>
      </c>
      <c r="C80" s="42">
        <f t="shared" si="4"/>
        <v>79</v>
      </c>
      <c r="D80" s="208" t="s">
        <v>9</v>
      </c>
      <c r="E80" s="38"/>
      <c r="F80" s="209" t="s">
        <v>9</v>
      </c>
      <c r="G80" s="197"/>
      <c r="H80" s="38"/>
      <c r="I80" s="38" t="s">
        <v>9</v>
      </c>
      <c r="J80" s="38"/>
      <c r="K80" s="14" t="s">
        <v>24</v>
      </c>
      <c r="L80" s="14" t="s">
        <v>27</v>
      </c>
      <c r="M80" s="211" t="s">
        <v>494</v>
      </c>
      <c r="N80" s="14" t="s">
        <v>495</v>
      </c>
      <c r="O80" s="43">
        <v>5.0000000000000001E-3</v>
      </c>
      <c r="R80" s="38" t="s">
        <v>103</v>
      </c>
      <c r="S80" s="38"/>
      <c r="T80" s="38"/>
      <c r="W80" s="15" t="s">
        <v>103</v>
      </c>
      <c r="Y80" s="14" t="s">
        <v>496</v>
      </c>
      <c r="Z80" s="59" t="str">
        <f>IF(OR($M80="",NOT($O80="{array}")),"",IFERROR(MATCH(PARAMETERS!$M80,DEFAULT!$B$5:$BZ$5,0),""))</f>
        <v/>
      </c>
      <c r="AA80" s="56" t="str">
        <f t="shared" si="5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IF($AA80="","",IF($B80="I",VLOOKUP($AA80,#REF!,53,0),INDEX(VALUES!$B$1:$AO$1,1,$AA80)))</f>
        <v/>
      </c>
    </row>
    <row r="81" spans="1:29" hidden="1" outlineLevel="1" x14ac:dyDescent="0.3">
      <c r="A81" s="22" t="s">
        <v>83</v>
      </c>
      <c r="B81" s="41" t="str">
        <f t="shared" si="3"/>
        <v/>
      </c>
      <c r="C81" s="42">
        <f t="shared" si="4"/>
        <v>80</v>
      </c>
      <c r="D81" s="208" t="s">
        <v>9</v>
      </c>
      <c r="E81" s="38"/>
      <c r="F81" s="209" t="s">
        <v>9</v>
      </c>
      <c r="G81" s="197"/>
      <c r="H81" s="38"/>
      <c r="I81" s="38" t="s">
        <v>9</v>
      </c>
      <c r="J81" s="38"/>
      <c r="K81" s="14" t="s">
        <v>24</v>
      </c>
      <c r="L81" s="14" t="s">
        <v>27</v>
      </c>
      <c r="M81" s="211" t="s">
        <v>497</v>
      </c>
      <c r="N81" s="14" t="s">
        <v>498</v>
      </c>
      <c r="O81" s="43">
        <v>0.01</v>
      </c>
      <c r="R81" s="38" t="s">
        <v>103</v>
      </c>
      <c r="S81" s="38"/>
      <c r="T81" s="38"/>
      <c r="W81" s="15" t="s">
        <v>103</v>
      </c>
      <c r="Y81" s="14" t="s">
        <v>499</v>
      </c>
      <c r="Z81" s="59" t="str">
        <f>IF(OR($M81="",NOT($O81="{array}")),"",IFERROR(MATCH(PARAMETERS!$M81,DEFAULT!$B$5:$BZ$5,0),""))</f>
        <v/>
      </c>
      <c r="AA81" s="56" t="str">
        <f t="shared" si="5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IF($AA81="","",IF($B81="I",VLOOKUP($AA81,#REF!,53,0),INDEX(VALUES!$B$1:$AO$1,1,$AA81)))</f>
        <v/>
      </c>
    </row>
    <row r="82" spans="1:29" hidden="1" outlineLevel="1" x14ac:dyDescent="0.3">
      <c r="A82" s="22" t="s">
        <v>83</v>
      </c>
      <c r="B82" s="41" t="str">
        <f t="shared" si="3"/>
        <v/>
      </c>
      <c r="C82" s="42">
        <f t="shared" si="4"/>
        <v>81</v>
      </c>
      <c r="D82" s="208" t="s">
        <v>9</v>
      </c>
      <c r="E82" s="38"/>
      <c r="F82" s="209" t="s">
        <v>9</v>
      </c>
      <c r="G82" s="197" t="s">
        <v>9</v>
      </c>
      <c r="H82" s="38"/>
      <c r="I82" s="38" t="s">
        <v>9</v>
      </c>
      <c r="J82" s="38"/>
      <c r="K82" s="14" t="s">
        <v>24</v>
      </c>
      <c r="L82" s="14" t="s">
        <v>27</v>
      </c>
      <c r="M82" s="211" t="s">
        <v>500</v>
      </c>
      <c r="N82" s="14" t="s">
        <v>501</v>
      </c>
      <c r="O82" s="43">
        <v>0</v>
      </c>
      <c r="R82" s="38" t="s">
        <v>103</v>
      </c>
      <c r="S82" s="38"/>
      <c r="T82" s="38"/>
      <c r="W82" s="15" t="s">
        <v>103</v>
      </c>
      <c r="Y82" s="14" t="s">
        <v>502</v>
      </c>
      <c r="Z82" s="59" t="str">
        <f>IF(OR($M82="",NOT($O82="{array}")),"",IFERROR(MATCH(PARAMETERS!$M82,DEFAULT!$B$5:$BZ$5,0),""))</f>
        <v/>
      </c>
      <c r="AA82" s="56" t="str">
        <f t="shared" si="5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IF($AA82="","",IF($B82="I",VLOOKUP($AA82,#REF!,53,0),INDEX(VALUES!$B$1:$AO$1,1,$AA82)))</f>
        <v/>
      </c>
    </row>
    <row r="83" spans="1:29" hidden="1" outlineLevel="1" x14ac:dyDescent="0.25">
      <c r="A83" s="22" t="s">
        <v>83</v>
      </c>
      <c r="B83" s="41" t="str">
        <f t="shared" si="3"/>
        <v/>
      </c>
      <c r="C83" s="42">
        <f t="shared" si="4"/>
        <v>82</v>
      </c>
      <c r="D83" s="208" t="s">
        <v>9</v>
      </c>
      <c r="E83" s="38"/>
      <c r="F83" s="209"/>
      <c r="G83" s="197" t="s">
        <v>9</v>
      </c>
      <c r="H83" s="38"/>
      <c r="I83" s="38" t="s">
        <v>9</v>
      </c>
      <c r="J83" s="38"/>
      <c r="K83" s="53" t="s">
        <v>44</v>
      </c>
      <c r="L83" s="53" t="s">
        <v>21</v>
      </c>
      <c r="M83" s="181" t="s">
        <v>1009</v>
      </c>
      <c r="N83" s="53" t="s">
        <v>1010</v>
      </c>
      <c r="O83" s="149">
        <v>1</v>
      </c>
      <c r="P83" s="53"/>
      <c r="Q83" s="197"/>
      <c r="R83" s="197" t="s">
        <v>197</v>
      </c>
      <c r="S83" s="38"/>
      <c r="T83" s="38"/>
      <c r="V83" s="191"/>
      <c r="W83" s="189"/>
      <c r="Y83" s="191"/>
      <c r="Z83" s="59" t="str">
        <f>IF(OR($M83="",NOT($O83="{array}")),"",IFERROR(MATCH(PARAMETERS!$M83,DEFAULT!$B$5:$BZ$5,0),""))</f>
        <v/>
      </c>
      <c r="AA83" s="56" t="str">
        <f t="shared" si="5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IF($AA83="","",IF($B83="I",VLOOKUP($AA83,#REF!,53,0),INDEX(VALUES!$B$1:$AO$1,1,$AA83)))</f>
        <v/>
      </c>
    </row>
    <row r="84" spans="1:29" hidden="1" outlineLevel="1" x14ac:dyDescent="0.25">
      <c r="A84" s="22" t="s">
        <v>83</v>
      </c>
      <c r="B84" s="41" t="str">
        <f t="shared" si="3"/>
        <v/>
      </c>
      <c r="C84" s="42">
        <f t="shared" si="4"/>
        <v>83</v>
      </c>
      <c r="D84" s="208" t="s">
        <v>9</v>
      </c>
      <c r="E84" s="38"/>
      <c r="F84" s="209" t="s">
        <v>9</v>
      </c>
      <c r="G84" s="197"/>
      <c r="H84" s="38"/>
      <c r="I84" s="38" t="s">
        <v>9</v>
      </c>
      <c r="J84" s="38"/>
      <c r="K84" s="14" t="s">
        <v>24</v>
      </c>
      <c r="L84" s="14" t="s">
        <v>27</v>
      </c>
      <c r="M84" s="211" t="s">
        <v>503</v>
      </c>
      <c r="N84" s="14" t="s">
        <v>504</v>
      </c>
      <c r="O84" s="43">
        <v>0.88500000000000001</v>
      </c>
      <c r="P84" s="161" t="s">
        <v>126</v>
      </c>
      <c r="Q84" s="38" t="s">
        <v>9</v>
      </c>
      <c r="R84" s="38" t="s">
        <v>103</v>
      </c>
      <c r="S84" s="172" t="s">
        <v>111</v>
      </c>
      <c r="T84" s="171" t="s">
        <v>309</v>
      </c>
      <c r="U84" s="167" t="s">
        <v>309</v>
      </c>
      <c r="V84" s="167" t="s">
        <v>505</v>
      </c>
      <c r="W84" s="15" t="s">
        <v>103</v>
      </c>
      <c r="Y84" s="167" t="s">
        <v>506</v>
      </c>
      <c r="Z84" s="59" t="str">
        <f>IF(OR($M84="",NOT($O84="{array}")),"",IFERROR(MATCH(PARAMETERS!$M84,DEFAULT!$B$5:$BZ$5,0),""))</f>
        <v/>
      </c>
      <c r="AA84" s="56" t="str">
        <f t="shared" si="5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IF($AA84="","",IF($B84="I",VLOOKUP($AA84,#REF!,53,0),INDEX(VALUES!$B$1:$AO$1,1,$AA84)))</f>
        <v/>
      </c>
    </row>
    <row r="85" spans="1:29" hidden="1" outlineLevel="1" x14ac:dyDescent="0.25">
      <c r="A85" s="22" t="s">
        <v>83</v>
      </c>
      <c r="B85" s="41" t="str">
        <f t="shared" si="3"/>
        <v/>
      </c>
      <c r="C85" s="42">
        <f t="shared" si="4"/>
        <v>84</v>
      </c>
      <c r="D85" s="208" t="s">
        <v>9</v>
      </c>
      <c r="E85" s="38"/>
      <c r="F85" s="209" t="s">
        <v>9</v>
      </c>
      <c r="G85" s="197"/>
      <c r="H85" s="38"/>
      <c r="I85" s="38" t="s">
        <v>9</v>
      </c>
      <c r="J85" s="38"/>
      <c r="K85" s="14" t="s">
        <v>24</v>
      </c>
      <c r="L85" s="14" t="s">
        <v>27</v>
      </c>
      <c r="M85" s="211" t="s">
        <v>507</v>
      </c>
      <c r="N85" s="14" t="s">
        <v>508</v>
      </c>
      <c r="O85" s="43">
        <v>2.1349999999999998</v>
      </c>
      <c r="P85" s="161" t="s">
        <v>126</v>
      </c>
      <c r="Q85" s="38" t="s">
        <v>9</v>
      </c>
      <c r="R85" s="38" t="s">
        <v>103</v>
      </c>
      <c r="S85" s="172" t="s">
        <v>111</v>
      </c>
      <c r="T85" s="171" t="s">
        <v>309</v>
      </c>
      <c r="U85" s="167" t="s">
        <v>309</v>
      </c>
      <c r="V85" s="167" t="s">
        <v>509</v>
      </c>
      <c r="W85" s="15" t="s">
        <v>103</v>
      </c>
      <c r="Y85" s="167" t="s">
        <v>510</v>
      </c>
      <c r="Z85" s="59" t="str">
        <f>IF(OR($M85="",NOT($O85="{array}")),"",IFERROR(MATCH(PARAMETERS!$M85,DEFAULT!$B$5:$BZ$5,0),""))</f>
        <v/>
      </c>
      <c r="AA85" s="56" t="str">
        <f t="shared" si="5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IF($AA85="","",IF($B85="I",VLOOKUP($AA85,#REF!,53,0),INDEX(VALUES!$B$1:$AO$1,1,$AA85)))</f>
        <v/>
      </c>
    </row>
    <row r="86" spans="1:29" hidden="1" outlineLevel="1" x14ac:dyDescent="0.3">
      <c r="A86" s="22" t="s">
        <v>83</v>
      </c>
      <c r="B86" s="41" t="str">
        <f t="shared" si="3"/>
        <v/>
      </c>
      <c r="C86" s="42">
        <f t="shared" si="4"/>
        <v>85</v>
      </c>
      <c r="D86" s="208" t="s">
        <v>9</v>
      </c>
      <c r="E86" s="38"/>
      <c r="F86" s="209" t="s">
        <v>9</v>
      </c>
      <c r="G86" s="197"/>
      <c r="H86" s="38"/>
      <c r="I86" s="38" t="s">
        <v>9</v>
      </c>
      <c r="J86" s="38"/>
      <c r="K86" s="14" t="s">
        <v>24</v>
      </c>
      <c r="L86" s="14" t="s">
        <v>27</v>
      </c>
      <c r="M86" s="211" t="s">
        <v>511</v>
      </c>
      <c r="N86" s="14" t="s">
        <v>512</v>
      </c>
      <c r="O86" s="43">
        <v>0.88500000000000001</v>
      </c>
      <c r="Q86" s="38" t="s">
        <v>9</v>
      </c>
      <c r="R86" s="38" t="s">
        <v>103</v>
      </c>
      <c r="S86" s="38"/>
      <c r="T86" s="38"/>
      <c r="W86" s="15" t="s">
        <v>103</v>
      </c>
      <c r="Z86" s="59" t="str">
        <f>IF(OR($M86="",NOT($O86="{array}")),"",IFERROR(MATCH(PARAMETERS!$M86,DEFAULT!$B$5:$BZ$5,0),""))</f>
        <v/>
      </c>
      <c r="AA86" s="56" t="str">
        <f t="shared" si="5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IF($AA86="","",IF($B86="I",VLOOKUP($AA86,#REF!,53,0),INDEX(VALUES!$B$1:$AO$1,1,$AA86)))</f>
        <v/>
      </c>
    </row>
    <row r="87" spans="1:29" hidden="1" outlineLevel="1" x14ac:dyDescent="0.3">
      <c r="A87" s="22" t="s">
        <v>83</v>
      </c>
      <c r="B87" s="41" t="str">
        <f t="shared" si="3"/>
        <v/>
      </c>
      <c r="C87" s="42">
        <f t="shared" si="4"/>
        <v>86</v>
      </c>
      <c r="D87" s="208" t="s">
        <v>9</v>
      </c>
      <c r="E87" s="38"/>
      <c r="F87" s="209" t="s">
        <v>9</v>
      </c>
      <c r="G87" s="197"/>
      <c r="H87" s="38"/>
      <c r="I87" s="38" t="s">
        <v>9</v>
      </c>
      <c r="J87" s="38"/>
      <c r="K87" s="14" t="s">
        <v>24</v>
      </c>
      <c r="L87" s="14" t="s">
        <v>27</v>
      </c>
      <c r="M87" s="211" t="s">
        <v>513</v>
      </c>
      <c r="N87" s="14" t="s">
        <v>514</v>
      </c>
      <c r="O87" s="43">
        <v>2.1349999999999998</v>
      </c>
      <c r="Q87" s="38" t="s">
        <v>9</v>
      </c>
      <c r="R87" s="38" t="s">
        <v>103</v>
      </c>
      <c r="S87" s="38"/>
      <c r="T87" s="38"/>
      <c r="W87" s="15" t="s">
        <v>103</v>
      </c>
      <c r="Z87" s="59" t="str">
        <f>IF(OR($M87="",NOT($O87="{array}")),"",IFERROR(MATCH(PARAMETERS!$M87,DEFAULT!$B$5:$BZ$5,0),""))</f>
        <v/>
      </c>
      <c r="AA87" s="56" t="str">
        <f t="shared" si="5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IF($AA87="","",IF($B87="I",VLOOKUP($AA87,#REF!,53,0),INDEX(VALUES!$B$1:$AO$1,1,$AA87)))</f>
        <v/>
      </c>
    </row>
    <row r="88" spans="1:29" hidden="1" outlineLevel="1" x14ac:dyDescent="0.3">
      <c r="A88" s="22" t="s">
        <v>83</v>
      </c>
      <c r="B88" s="41" t="str">
        <f t="shared" si="3"/>
        <v/>
      </c>
      <c r="C88" s="42">
        <f t="shared" si="4"/>
        <v>87</v>
      </c>
      <c r="D88" s="208" t="s">
        <v>9</v>
      </c>
      <c r="E88" s="38"/>
      <c r="F88" s="209" t="s">
        <v>9</v>
      </c>
      <c r="G88" s="197"/>
      <c r="H88" s="38"/>
      <c r="I88" s="38" t="s">
        <v>9</v>
      </c>
      <c r="J88" s="38"/>
      <c r="K88" s="14" t="s">
        <v>24</v>
      </c>
      <c r="L88" s="14" t="s">
        <v>27</v>
      </c>
      <c r="M88" s="211" t="s">
        <v>515</v>
      </c>
      <c r="N88" s="14" t="s">
        <v>516</v>
      </c>
      <c r="O88" s="43">
        <v>0.875</v>
      </c>
      <c r="Q88" s="38" t="s">
        <v>9</v>
      </c>
      <c r="R88" s="38" t="s">
        <v>103</v>
      </c>
      <c r="S88" s="38"/>
      <c r="T88" s="38"/>
      <c r="W88" s="15" t="s">
        <v>103</v>
      </c>
      <c r="Z88" s="59" t="str">
        <f>IF(OR($M88="",NOT($O88="{array}")),"",IFERROR(MATCH(PARAMETERS!$M88,DEFAULT!$B$5:$BZ$5,0),""))</f>
        <v/>
      </c>
      <c r="AA88" s="56" t="str">
        <f t="shared" si="5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IF($AA88="","",IF($B88="I",VLOOKUP($AA88,#REF!,53,0),INDEX(VALUES!$B$1:$AO$1,1,$AA88)))</f>
        <v/>
      </c>
    </row>
    <row r="89" spans="1:29" hidden="1" outlineLevel="1" x14ac:dyDescent="0.3">
      <c r="A89" s="22" t="s">
        <v>83</v>
      </c>
      <c r="B89" s="41" t="str">
        <f t="shared" si="3"/>
        <v/>
      </c>
      <c r="C89" s="42">
        <f t="shared" si="4"/>
        <v>88</v>
      </c>
      <c r="D89" s="208" t="s">
        <v>9</v>
      </c>
      <c r="E89" s="38"/>
      <c r="F89" s="209" t="s">
        <v>9</v>
      </c>
      <c r="G89" s="197"/>
      <c r="H89" s="38"/>
      <c r="I89" s="38" t="s">
        <v>9</v>
      </c>
      <c r="J89" s="38"/>
      <c r="K89" s="14" t="s">
        <v>24</v>
      </c>
      <c r="L89" s="14" t="s">
        <v>27</v>
      </c>
      <c r="M89" s="211" t="s">
        <v>517</v>
      </c>
      <c r="N89" s="14" t="s">
        <v>518</v>
      </c>
      <c r="O89" s="43">
        <v>2.125</v>
      </c>
      <c r="Q89" s="38" t="s">
        <v>9</v>
      </c>
      <c r="R89" s="38" t="s">
        <v>103</v>
      </c>
      <c r="S89" s="38"/>
      <c r="T89" s="38"/>
      <c r="W89" s="15" t="s">
        <v>103</v>
      </c>
      <c r="Z89" s="59" t="str">
        <f>IF(OR($M89="",NOT($O89="{array}")),"",IFERROR(MATCH(PARAMETERS!$M89,DEFAULT!$B$5:$BZ$5,0),""))</f>
        <v/>
      </c>
      <c r="AA89" s="56" t="str">
        <f t="shared" si="5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IF($AA89="","",IF($B89="I",VLOOKUP($AA89,#REF!,53,0),INDEX(VALUES!$B$1:$AO$1,1,$AA89)))</f>
        <v/>
      </c>
    </row>
    <row r="90" spans="1:29" hidden="1" outlineLevel="1" x14ac:dyDescent="0.3">
      <c r="A90" s="22" t="s">
        <v>83</v>
      </c>
      <c r="B90" s="41" t="str">
        <f t="shared" si="3"/>
        <v/>
      </c>
      <c r="C90" s="42">
        <f t="shared" si="4"/>
        <v>89</v>
      </c>
      <c r="D90" s="208" t="s">
        <v>9</v>
      </c>
      <c r="E90" s="38"/>
      <c r="F90" s="209" t="s">
        <v>9</v>
      </c>
      <c r="G90" s="197"/>
      <c r="H90" s="38"/>
      <c r="I90" s="38" t="s">
        <v>9</v>
      </c>
      <c r="J90" s="38" t="s">
        <v>9</v>
      </c>
      <c r="K90" s="14" t="s">
        <v>24</v>
      </c>
      <c r="L90" s="14" t="s">
        <v>27</v>
      </c>
      <c r="M90" s="211" t="s">
        <v>519</v>
      </c>
      <c r="N90" s="14" t="s">
        <v>520</v>
      </c>
      <c r="O90" s="43">
        <v>0.875</v>
      </c>
      <c r="Q90" s="38" t="s">
        <v>9</v>
      </c>
      <c r="R90" s="38" t="s">
        <v>103</v>
      </c>
      <c r="S90" s="38"/>
      <c r="T90" s="38"/>
      <c r="W90" s="15" t="s">
        <v>103</v>
      </c>
      <c r="Z90" s="59" t="str">
        <f>IF(OR($M90="",NOT($O90="{array}")),"",IFERROR(MATCH(PARAMETERS!$M90,DEFAULT!$B$5:$BZ$5,0),""))</f>
        <v/>
      </c>
      <c r="AA90" s="56" t="str">
        <f t="shared" si="5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IF($AA90="","",IF($B90="I",VLOOKUP($AA90,#REF!,53,0),INDEX(VALUES!$B$1:$AO$1,1,$AA90)))</f>
        <v/>
      </c>
    </row>
    <row r="91" spans="1:29" hidden="1" outlineLevel="1" x14ac:dyDescent="0.3">
      <c r="A91" s="22" t="s">
        <v>83</v>
      </c>
      <c r="B91" s="41" t="str">
        <f t="shared" si="3"/>
        <v/>
      </c>
      <c r="C91" s="42">
        <f t="shared" si="4"/>
        <v>90</v>
      </c>
      <c r="D91" s="208" t="s">
        <v>9</v>
      </c>
      <c r="E91" s="38"/>
      <c r="F91" s="209" t="s">
        <v>9</v>
      </c>
      <c r="G91" s="197"/>
      <c r="H91" s="38"/>
      <c r="I91" s="38" t="s">
        <v>9</v>
      </c>
      <c r="J91" s="38" t="s">
        <v>9</v>
      </c>
      <c r="K91" s="14" t="s">
        <v>24</v>
      </c>
      <c r="L91" s="14" t="s">
        <v>27</v>
      </c>
      <c r="M91" s="211" t="s">
        <v>521</v>
      </c>
      <c r="N91" s="14" t="s">
        <v>522</v>
      </c>
      <c r="O91" s="43">
        <v>2.125</v>
      </c>
      <c r="Q91" s="38" t="s">
        <v>9</v>
      </c>
      <c r="R91" s="38" t="s">
        <v>103</v>
      </c>
      <c r="S91" s="38"/>
      <c r="T91" s="38"/>
      <c r="W91" s="15" t="s">
        <v>103</v>
      </c>
      <c r="Z91" s="59" t="str">
        <f>IF(OR($M91="",NOT($O91="{array}")),"",IFERROR(MATCH(PARAMETERS!$M91,DEFAULT!$B$5:$BZ$5,0),""))</f>
        <v/>
      </c>
      <c r="AA91" s="56" t="str">
        <f t="shared" si="5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IF($AA91="","",IF($B91="I",VLOOKUP($AA91,#REF!,53,0),INDEX(VALUES!$B$1:$AO$1,1,$AA91)))</f>
        <v/>
      </c>
    </row>
    <row r="92" spans="1:29" hidden="1" outlineLevel="1" x14ac:dyDescent="0.25">
      <c r="A92" s="22" t="s">
        <v>83</v>
      </c>
      <c r="B92" s="41" t="str">
        <f t="shared" si="3"/>
        <v/>
      </c>
      <c r="C92" s="42">
        <f t="shared" si="4"/>
        <v>91</v>
      </c>
      <c r="D92" s="208" t="s">
        <v>9</v>
      </c>
      <c r="E92" s="38"/>
      <c r="F92" s="209"/>
      <c r="G92" s="197"/>
      <c r="H92" s="38"/>
      <c r="I92" s="38" t="s">
        <v>9</v>
      </c>
      <c r="J92" s="38"/>
      <c r="K92" s="53" t="s">
        <v>24</v>
      </c>
      <c r="L92" s="53" t="s">
        <v>27</v>
      </c>
      <c r="M92" s="181" t="s">
        <v>926</v>
      </c>
      <c r="N92" s="53" t="s">
        <v>927</v>
      </c>
      <c r="O92" s="149">
        <v>0.84499999999999997</v>
      </c>
      <c r="Q92" s="38" t="s">
        <v>9</v>
      </c>
      <c r="R92" s="177" t="s">
        <v>102</v>
      </c>
      <c r="S92" s="177" t="s">
        <v>111</v>
      </c>
      <c r="T92" s="38"/>
      <c r="V92" s="178"/>
      <c r="W92" s="15" t="s">
        <v>309</v>
      </c>
      <c r="Y92" s="53" t="s">
        <v>1011</v>
      </c>
      <c r="Z92" s="59" t="str">
        <f>IF(OR($M92="",NOT($O92="{array}")),"",IFERROR(MATCH(PARAMETERS!$M92,DEFAULT!$B$5:$BZ$5,0),""))</f>
        <v/>
      </c>
      <c r="AA92" s="56" t="str">
        <f t="shared" si="5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IF($AA92="","",IF($B92="I",VLOOKUP($AA92,#REF!,53,0),INDEX(VALUES!$B$1:$AO$1,1,$AA92)))</f>
        <v/>
      </c>
    </row>
    <row r="93" spans="1:29" hidden="1" outlineLevel="1" x14ac:dyDescent="0.25">
      <c r="A93" s="22" t="s">
        <v>83</v>
      </c>
      <c r="B93" s="41" t="str">
        <f t="shared" si="3"/>
        <v/>
      </c>
      <c r="C93" s="42">
        <f t="shared" si="4"/>
        <v>92</v>
      </c>
      <c r="D93" s="208" t="s">
        <v>9</v>
      </c>
      <c r="E93" s="38"/>
      <c r="F93" s="209"/>
      <c r="G93" s="197"/>
      <c r="H93" s="38"/>
      <c r="I93" s="38" t="s">
        <v>9</v>
      </c>
      <c r="J93" s="38"/>
      <c r="K93" s="53" t="s">
        <v>24</v>
      </c>
      <c r="L93" s="53" t="s">
        <v>27</v>
      </c>
      <c r="M93" s="181" t="s">
        <v>928</v>
      </c>
      <c r="N93" s="53" t="s">
        <v>929</v>
      </c>
      <c r="O93" s="149">
        <v>2.11</v>
      </c>
      <c r="Q93" s="38" t="s">
        <v>9</v>
      </c>
      <c r="R93" s="177" t="s">
        <v>102</v>
      </c>
      <c r="S93" s="177" t="s">
        <v>111</v>
      </c>
      <c r="T93" s="38"/>
      <c r="V93" s="178"/>
      <c r="W93" s="15" t="s">
        <v>309</v>
      </c>
      <c r="Y93" s="53" t="s">
        <v>1012</v>
      </c>
      <c r="Z93" s="59" t="str">
        <f>IF(OR($M93="",NOT($O93="{array}")),"",IFERROR(MATCH(PARAMETERS!$M93,DEFAULT!$B$5:$BZ$5,0),""))</f>
        <v/>
      </c>
      <c r="AA93" s="56" t="str">
        <f t="shared" si="5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IF($AA93="","",IF($B93="I",VLOOKUP($AA93,#REF!,53,0),INDEX(VALUES!$B$1:$AO$1,1,$AA93)))</f>
        <v/>
      </c>
    </row>
    <row r="94" spans="1:29" hidden="1" outlineLevel="1" x14ac:dyDescent="0.25">
      <c r="A94" s="22" t="s">
        <v>83</v>
      </c>
      <c r="B94" s="41" t="str">
        <f t="shared" si="3"/>
        <v/>
      </c>
      <c r="C94" s="42">
        <f t="shared" si="4"/>
        <v>93</v>
      </c>
      <c r="D94" s="208" t="s">
        <v>9</v>
      </c>
      <c r="E94" s="38"/>
      <c r="F94" s="209"/>
      <c r="G94" s="197"/>
      <c r="H94" s="38"/>
      <c r="I94" s="38" t="s">
        <v>9</v>
      </c>
      <c r="J94" s="38"/>
      <c r="K94" s="53" t="s">
        <v>24</v>
      </c>
      <c r="L94" s="53" t="s">
        <v>27</v>
      </c>
      <c r="M94" s="181" t="s">
        <v>1013</v>
      </c>
      <c r="N94" s="53" t="s">
        <v>1014</v>
      </c>
      <c r="O94" s="149">
        <v>0.875</v>
      </c>
      <c r="Q94" s="38" t="s">
        <v>9</v>
      </c>
      <c r="R94" s="177" t="s">
        <v>102</v>
      </c>
      <c r="S94" s="177" t="s">
        <v>111</v>
      </c>
      <c r="T94" s="38"/>
      <c r="V94" s="178"/>
      <c r="W94" s="15"/>
      <c r="Y94" s="53"/>
      <c r="Z94" s="59" t="str">
        <f>IF(OR($M94="",NOT($O94="{array}")),"",IFERROR(MATCH(PARAMETERS!$M94,DEFAULT!$B$5:$BZ$5,0),""))</f>
        <v/>
      </c>
      <c r="AA94" s="56" t="str">
        <f t="shared" si="5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IF($AA94="","",IF($B94="I",VLOOKUP($AA94,#REF!,53,0),INDEX(VALUES!$B$1:$AO$1,1,$AA94)))</f>
        <v/>
      </c>
    </row>
    <row r="95" spans="1:29" hidden="1" outlineLevel="1" x14ac:dyDescent="0.25">
      <c r="A95" s="22" t="s">
        <v>83</v>
      </c>
      <c r="B95" s="41" t="str">
        <f t="shared" si="3"/>
        <v/>
      </c>
      <c r="C95" s="42">
        <f t="shared" si="4"/>
        <v>94</v>
      </c>
      <c r="D95" s="208" t="s">
        <v>9</v>
      </c>
      <c r="E95" s="38"/>
      <c r="F95" s="209"/>
      <c r="G95" s="197"/>
      <c r="H95" s="38"/>
      <c r="I95" s="38" t="s">
        <v>9</v>
      </c>
      <c r="J95" s="38"/>
      <c r="K95" s="53" t="s">
        <v>24</v>
      </c>
      <c r="L95" s="53" t="s">
        <v>27</v>
      </c>
      <c r="M95" s="181" t="s">
        <v>1015</v>
      </c>
      <c r="N95" s="53" t="s">
        <v>1016</v>
      </c>
      <c r="O95" s="149">
        <v>0.875</v>
      </c>
      <c r="Q95" s="38" t="s">
        <v>9</v>
      </c>
      <c r="R95" s="177" t="s">
        <v>102</v>
      </c>
      <c r="S95" s="177" t="s">
        <v>111</v>
      </c>
      <c r="T95" s="38"/>
      <c r="V95" s="178"/>
      <c r="W95" s="15"/>
      <c r="Y95" s="53"/>
      <c r="Z95" s="59" t="str">
        <f>IF(OR($M95="",NOT($O95="{array}")),"",IFERROR(MATCH(PARAMETERS!$M95,DEFAULT!$B$5:$BZ$5,0),""))</f>
        <v/>
      </c>
      <c r="AA95" s="56" t="str">
        <f t="shared" si="5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IF($AA95="","",IF($B95="I",VLOOKUP($AA95,#REF!,53,0),INDEX(VALUES!$B$1:$AO$1,1,$AA95)))</f>
        <v/>
      </c>
    </row>
    <row r="96" spans="1:29" hidden="1" outlineLevel="1" x14ac:dyDescent="0.25">
      <c r="A96" s="22" t="s">
        <v>83</v>
      </c>
      <c r="B96" s="41" t="str">
        <f t="shared" si="3"/>
        <v/>
      </c>
      <c r="C96" s="42">
        <f t="shared" si="4"/>
        <v>95</v>
      </c>
      <c r="D96" s="208" t="s">
        <v>9</v>
      </c>
      <c r="E96" s="38"/>
      <c r="F96" s="209"/>
      <c r="G96" s="197"/>
      <c r="H96" s="38"/>
      <c r="I96" s="38" t="s">
        <v>9</v>
      </c>
      <c r="J96" s="38"/>
      <c r="K96" s="53" t="s">
        <v>24</v>
      </c>
      <c r="L96" s="53" t="s">
        <v>27</v>
      </c>
      <c r="M96" s="181" t="s">
        <v>1017</v>
      </c>
      <c r="N96" s="53" t="s">
        <v>1018</v>
      </c>
      <c r="O96" s="149">
        <v>2.11</v>
      </c>
      <c r="Q96" s="38" t="s">
        <v>9</v>
      </c>
      <c r="R96" s="177" t="s">
        <v>102</v>
      </c>
      <c r="S96" s="177" t="s">
        <v>111</v>
      </c>
      <c r="T96" s="38"/>
      <c r="V96" s="178"/>
      <c r="W96" s="15"/>
      <c r="Y96" s="53"/>
      <c r="Z96" s="59" t="str">
        <f>IF(OR($M96="",NOT($O96="{array}")),"",IFERROR(MATCH(PARAMETERS!$M96,DEFAULT!$B$5:$BZ$5,0),""))</f>
        <v/>
      </c>
      <c r="AA96" s="56" t="str">
        <f t="shared" si="5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IF($AA96="","",IF($B96="I",VLOOKUP($AA96,#REF!,53,0),INDEX(VALUES!$B$1:$AO$1,1,$AA96)))</f>
        <v/>
      </c>
    </row>
    <row r="97" spans="1:29" hidden="1" outlineLevel="1" x14ac:dyDescent="0.25">
      <c r="A97" s="22" t="s">
        <v>83</v>
      </c>
      <c r="B97" s="41" t="str">
        <f t="shared" si="3"/>
        <v/>
      </c>
      <c r="C97" s="42">
        <f t="shared" si="4"/>
        <v>96</v>
      </c>
      <c r="D97" s="208" t="s">
        <v>9</v>
      </c>
      <c r="E97" s="38"/>
      <c r="F97" s="209"/>
      <c r="G97" s="197"/>
      <c r="H97" s="38"/>
      <c r="I97" s="38" t="s">
        <v>9</v>
      </c>
      <c r="J97" s="38"/>
      <c r="K97" s="53" t="s">
        <v>24</v>
      </c>
      <c r="L97" s="53" t="s">
        <v>27</v>
      </c>
      <c r="M97" s="181" t="s">
        <v>1019</v>
      </c>
      <c r="N97" s="53" t="s">
        <v>1020</v>
      </c>
      <c r="O97" s="149">
        <v>2.11</v>
      </c>
      <c r="Q97" s="38" t="s">
        <v>9</v>
      </c>
      <c r="R97" s="177" t="s">
        <v>102</v>
      </c>
      <c r="S97" s="177" t="s">
        <v>111</v>
      </c>
      <c r="T97" s="38"/>
      <c r="V97" s="178"/>
      <c r="W97" s="15"/>
      <c r="Y97" s="53"/>
      <c r="Z97" s="59" t="str">
        <f>IF(OR($M97="",NOT($O97="{array}")),"",IFERROR(MATCH(PARAMETERS!$M97,DEFAULT!$B$5:$BZ$5,0),""))</f>
        <v/>
      </c>
      <c r="AA97" s="56" t="str">
        <f t="shared" si="5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IF($AA97="","",IF($B97="I",VLOOKUP($AA97,#REF!,53,0),INDEX(VALUES!$B$1:$AO$1,1,$AA97)))</f>
        <v/>
      </c>
    </row>
    <row r="98" spans="1:29" hidden="1" outlineLevel="1" x14ac:dyDescent="0.3">
      <c r="A98" s="22" t="s">
        <v>83</v>
      </c>
      <c r="B98" s="41" t="str">
        <f t="shared" si="3"/>
        <v/>
      </c>
      <c r="C98" s="42">
        <f t="shared" si="4"/>
        <v>97</v>
      </c>
      <c r="D98" s="208" t="s">
        <v>9</v>
      </c>
      <c r="E98" s="38"/>
      <c r="F98" s="209" t="s">
        <v>9</v>
      </c>
      <c r="G98" s="197"/>
      <c r="H98" s="38"/>
      <c r="I98" s="38" t="s">
        <v>9</v>
      </c>
      <c r="J98" s="38"/>
      <c r="K98" s="14" t="s">
        <v>24</v>
      </c>
      <c r="L98" s="14" t="s">
        <v>27</v>
      </c>
      <c r="M98" s="211" t="s">
        <v>523</v>
      </c>
      <c r="N98" s="14" t="s">
        <v>524</v>
      </c>
      <c r="O98" s="43">
        <v>0.81499999999999995</v>
      </c>
      <c r="Q98" s="38" t="s">
        <v>9</v>
      </c>
      <c r="R98" s="38" t="s">
        <v>103</v>
      </c>
      <c r="S98" s="38"/>
      <c r="T98" s="38"/>
      <c r="V98" s="178"/>
      <c r="W98" s="15" t="s">
        <v>103</v>
      </c>
      <c r="Y98" s="14" t="s">
        <v>525</v>
      </c>
      <c r="Z98" s="59" t="str">
        <f>IF(OR($M98="",NOT($O98="{array}")),"",IFERROR(MATCH(PARAMETERS!$M98,DEFAULT!$B$5:$BZ$5,0),""))</f>
        <v/>
      </c>
      <c r="AA98" s="56" t="str">
        <f t="shared" si="5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IF($AA98="","",IF($B98="I",VLOOKUP($AA98,#REF!,53,0),INDEX(VALUES!$B$1:$AO$1,1,$AA98)))</f>
        <v/>
      </c>
    </row>
    <row r="99" spans="1:29" hidden="1" outlineLevel="1" x14ac:dyDescent="0.3">
      <c r="A99" s="22" t="s">
        <v>83</v>
      </c>
      <c r="B99" s="41" t="str">
        <f t="shared" si="3"/>
        <v/>
      </c>
      <c r="C99" s="42">
        <f t="shared" si="4"/>
        <v>98</v>
      </c>
      <c r="D99" s="208" t="s">
        <v>9</v>
      </c>
      <c r="E99" s="38"/>
      <c r="F99" s="209" t="s">
        <v>9</v>
      </c>
      <c r="G99" s="197"/>
      <c r="H99" s="38"/>
      <c r="I99" s="38" t="s">
        <v>9</v>
      </c>
      <c r="J99" s="38"/>
      <c r="K99" s="14" t="s">
        <v>24</v>
      </c>
      <c r="L99" s="14" t="s">
        <v>27</v>
      </c>
      <c r="M99" s="211" t="s">
        <v>526</v>
      </c>
      <c r="N99" s="14" t="s">
        <v>527</v>
      </c>
      <c r="O99" s="43">
        <v>2.0950000000000002</v>
      </c>
      <c r="Q99" s="38" t="s">
        <v>9</v>
      </c>
      <c r="R99" s="38" t="s">
        <v>103</v>
      </c>
      <c r="S99" s="38"/>
      <c r="T99" s="38"/>
      <c r="V99" s="178"/>
      <c r="W99" s="15" t="s">
        <v>103</v>
      </c>
      <c r="Y99" s="14" t="s">
        <v>528</v>
      </c>
      <c r="Z99" s="59" t="str">
        <f>IF(OR($M99="",NOT($O99="{array}")),"",IFERROR(MATCH(PARAMETERS!$M99,DEFAULT!$B$5:$BZ$5,0),""))</f>
        <v/>
      </c>
      <c r="AA99" s="56" t="str">
        <f t="shared" si="5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IF($AA99="","",IF($B99="I",VLOOKUP($AA99,#REF!,53,0),INDEX(VALUES!$B$1:$AO$1,1,$AA99)))</f>
        <v/>
      </c>
    </row>
    <row r="100" spans="1:29" hidden="1" outlineLevel="1" x14ac:dyDescent="0.3">
      <c r="A100" s="22" t="s">
        <v>83</v>
      </c>
      <c r="B100" s="41" t="str">
        <f t="shared" si="3"/>
        <v/>
      </c>
      <c r="C100" s="42">
        <f t="shared" si="4"/>
        <v>99</v>
      </c>
      <c r="D100" s="208" t="s">
        <v>9</v>
      </c>
      <c r="E100" s="38"/>
      <c r="F100" s="209"/>
      <c r="G100" s="197"/>
      <c r="H100" s="38"/>
      <c r="I100" s="38" t="s">
        <v>9</v>
      </c>
      <c r="J100" s="38"/>
      <c r="K100" s="160" t="s">
        <v>44</v>
      </c>
      <c r="L100" s="160" t="s">
        <v>32</v>
      </c>
      <c r="M100" s="203" t="s">
        <v>1021</v>
      </c>
      <c r="N100" s="160" t="s">
        <v>1022</v>
      </c>
      <c r="O100" s="160">
        <v>1</v>
      </c>
      <c r="P100" s="176" t="s">
        <v>309</v>
      </c>
      <c r="Q100" s="210"/>
      <c r="R100" s="177" t="s">
        <v>197</v>
      </c>
      <c r="S100" s="177" t="s">
        <v>111</v>
      </c>
      <c r="T100" s="160" t="s">
        <v>309</v>
      </c>
      <c r="U100" s="160" t="s">
        <v>309</v>
      </c>
      <c r="V100" s="178"/>
      <c r="W100" s="15" t="s">
        <v>309</v>
      </c>
      <c r="Y100" s="160"/>
      <c r="Z100" s="59" t="str">
        <f>IF(OR($M100="",NOT($O100="{array}")),"",IFERROR(MATCH(PARAMETERS!$M100,DEFAULT!$B$5:$BZ$5,0),""))</f>
        <v/>
      </c>
      <c r="AA100" s="56" t="str">
        <f t="shared" si="5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IF($AA100="","",IF($B100="I",VLOOKUP($AA100,#REF!,53,0),INDEX(VALUES!$B$1:$AO$1,1,$AA100)))</f>
        <v/>
      </c>
    </row>
    <row r="101" spans="1:29" hidden="1" outlineLevel="1" x14ac:dyDescent="0.3">
      <c r="A101" s="22" t="s">
        <v>83</v>
      </c>
      <c r="B101" s="41" t="str">
        <f t="shared" si="3"/>
        <v/>
      </c>
      <c r="C101" s="42">
        <f t="shared" si="4"/>
        <v>100</v>
      </c>
      <c r="D101" s="208" t="s">
        <v>9</v>
      </c>
      <c r="E101" s="38"/>
      <c r="F101" s="209"/>
      <c r="G101" s="197"/>
      <c r="H101" s="38"/>
      <c r="I101" s="38" t="s">
        <v>9</v>
      </c>
      <c r="J101" s="38"/>
      <c r="K101" s="160" t="s">
        <v>24</v>
      </c>
      <c r="L101" s="160" t="s">
        <v>32</v>
      </c>
      <c r="M101" s="203" t="s">
        <v>1023</v>
      </c>
      <c r="N101" s="160" t="s">
        <v>1024</v>
      </c>
      <c r="O101" s="160">
        <v>0</v>
      </c>
      <c r="P101" s="176" t="s">
        <v>309</v>
      </c>
      <c r="Q101" s="210"/>
      <c r="R101" s="177" t="s">
        <v>197</v>
      </c>
      <c r="S101" s="177" t="s">
        <v>111</v>
      </c>
      <c r="T101" s="160" t="s">
        <v>309</v>
      </c>
      <c r="U101" s="160" t="s">
        <v>309</v>
      </c>
      <c r="V101" s="178"/>
      <c r="W101" s="15" t="s">
        <v>309</v>
      </c>
      <c r="Y101" s="160"/>
      <c r="Z101" s="59" t="str">
        <f>IF(OR($M101="",NOT($O101="{array}")),"",IFERROR(MATCH(PARAMETERS!$M101,DEFAULT!$B$5:$BZ$5,0),""))</f>
        <v/>
      </c>
      <c r="AA101" s="56" t="str">
        <f t="shared" si="5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IF($AA101="","",IF($B101="I",VLOOKUP($AA101,#REF!,53,0),INDEX(VALUES!$B$1:$AO$1,1,$AA101)))</f>
        <v/>
      </c>
    </row>
    <row r="102" spans="1:29" hidden="1" outlineLevel="1" x14ac:dyDescent="0.3">
      <c r="A102" s="22" t="s">
        <v>83</v>
      </c>
      <c r="B102" s="41" t="str">
        <f>IF($A102="P",IF(NOT($Z102=""),"A",IF(NOT($AA102=""),"I","")),IF(NOT($AA102=""),IF($A102="G","V","X"),IF(NOT($Z102=""),"A","")))</f>
        <v/>
      </c>
      <c r="C102" s="42">
        <f t="shared" si="4"/>
        <v>101</v>
      </c>
      <c r="D102" s="208" t="s">
        <v>9</v>
      </c>
      <c r="E102" s="38"/>
      <c r="F102" s="209"/>
      <c r="G102" s="197"/>
      <c r="H102" s="38"/>
      <c r="I102" s="38" t="s">
        <v>9</v>
      </c>
      <c r="J102" s="38"/>
      <c r="K102" s="160" t="s">
        <v>24</v>
      </c>
      <c r="L102" s="160" t="s">
        <v>32</v>
      </c>
      <c r="M102" s="203" t="s">
        <v>529</v>
      </c>
      <c r="N102" s="160" t="s">
        <v>530</v>
      </c>
      <c r="O102" s="160">
        <v>0.6</v>
      </c>
      <c r="P102" s="176" t="s">
        <v>309</v>
      </c>
      <c r="Q102" s="210"/>
      <c r="R102" s="177" t="s">
        <v>102</v>
      </c>
      <c r="S102" s="177" t="s">
        <v>111</v>
      </c>
      <c r="T102" s="160" t="s">
        <v>309</v>
      </c>
      <c r="U102" s="160" t="s">
        <v>309</v>
      </c>
      <c r="V102" s="178" t="s">
        <v>462</v>
      </c>
      <c r="W102" s="15" t="s">
        <v>309</v>
      </c>
      <c r="Y102" s="160" t="s">
        <v>531</v>
      </c>
      <c r="Z102" s="59" t="str">
        <f>IF(OR($M102="",NOT($O102="{array}")),"",IFERROR(MATCH(PARAMETERS!$M102,DEFAULT!$B$5:$BZ$5,0),""))</f>
        <v/>
      </c>
      <c r="AA102" s="56" t="str">
        <f t="shared" si="5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IF($AA102="","",IF($B102="I",VLOOKUP($AA102,#REF!,53,0),INDEX(VALUES!$B$1:$AO$1,1,$AA102)))</f>
        <v/>
      </c>
    </row>
    <row r="103" spans="1:29" hidden="1" outlineLevel="1" x14ac:dyDescent="0.3">
      <c r="A103" s="22" t="s">
        <v>83</v>
      </c>
      <c r="B103" s="41" t="str">
        <f t="shared" si="3"/>
        <v/>
      </c>
      <c r="C103" s="42">
        <f t="shared" si="4"/>
        <v>102</v>
      </c>
      <c r="D103" s="208" t="s">
        <v>9</v>
      </c>
      <c r="E103" s="38"/>
      <c r="F103" s="209"/>
      <c r="G103" s="197"/>
      <c r="H103" s="38"/>
      <c r="I103" s="38" t="s">
        <v>9</v>
      </c>
      <c r="J103" s="38"/>
      <c r="K103" s="160" t="s">
        <v>24</v>
      </c>
      <c r="L103" s="160" t="s">
        <v>32</v>
      </c>
      <c r="M103" s="203" t="s">
        <v>532</v>
      </c>
      <c r="N103" s="160" t="s">
        <v>533</v>
      </c>
      <c r="O103" s="160">
        <v>2.0499999999999998</v>
      </c>
      <c r="P103" s="176" t="s">
        <v>309</v>
      </c>
      <c r="Q103" s="210"/>
      <c r="R103" s="177" t="s">
        <v>102</v>
      </c>
      <c r="S103" s="177" t="s">
        <v>111</v>
      </c>
      <c r="T103" s="160" t="s">
        <v>309</v>
      </c>
      <c r="U103" s="160" t="s">
        <v>309</v>
      </c>
      <c r="V103" s="178" t="s">
        <v>463</v>
      </c>
      <c r="W103" s="15" t="s">
        <v>309</v>
      </c>
      <c r="Y103" s="160" t="s">
        <v>531</v>
      </c>
      <c r="Z103" s="59" t="str">
        <f>IF(OR($M103="",NOT($O103="{array}")),"",IFERROR(MATCH(PARAMETERS!$M103,DEFAULT!$B$5:$BZ$5,0),""))</f>
        <v/>
      </c>
      <c r="AA103" s="56" t="str">
        <f t="shared" si="5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IF($AA103="","",IF($B103="I",VLOOKUP($AA103,#REF!,53,0),INDEX(VALUES!$B$1:$AO$1,1,$AA103)))</f>
        <v/>
      </c>
    </row>
    <row r="104" spans="1:29" hidden="1" outlineLevel="1" x14ac:dyDescent="0.25">
      <c r="A104" s="22" t="s">
        <v>83</v>
      </c>
      <c r="B104" s="41" t="str">
        <f t="shared" si="3"/>
        <v/>
      </c>
      <c r="C104" s="42">
        <f t="shared" si="4"/>
        <v>103</v>
      </c>
      <c r="D104" s="208" t="s">
        <v>9</v>
      </c>
      <c r="E104" s="38"/>
      <c r="F104" s="209" t="s">
        <v>9</v>
      </c>
      <c r="G104" s="197"/>
      <c r="H104" s="38"/>
      <c r="I104" s="38" t="s">
        <v>9</v>
      </c>
      <c r="J104" s="38"/>
      <c r="K104" s="14" t="s">
        <v>24</v>
      </c>
      <c r="L104" s="14" t="s">
        <v>27</v>
      </c>
      <c r="M104" s="211" t="s">
        <v>534</v>
      </c>
      <c r="N104" s="14" t="s">
        <v>535</v>
      </c>
      <c r="O104" s="43">
        <v>0.871</v>
      </c>
      <c r="R104" s="38" t="s">
        <v>103</v>
      </c>
      <c r="S104" s="172" t="s">
        <v>111</v>
      </c>
      <c r="T104" s="167" t="s">
        <v>309</v>
      </c>
      <c r="U104" s="167" t="s">
        <v>309</v>
      </c>
      <c r="V104" s="167" t="s">
        <v>536</v>
      </c>
      <c r="W104" s="15" t="s">
        <v>103</v>
      </c>
      <c r="Y104" s="167" t="s">
        <v>537</v>
      </c>
      <c r="Z104" s="59" t="str">
        <f>IF(OR($M104="",NOT($O104="{array}")),"",IFERROR(MATCH(PARAMETERS!$M104,DEFAULT!$B$5:$BZ$5,0),""))</f>
        <v/>
      </c>
      <c r="AA104" s="56" t="str">
        <f t="shared" si="5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IF($AA104="","",IF($B104="I",VLOOKUP($AA104,#REF!,53,0),INDEX(VALUES!$B$1:$AO$1,1,$AA104)))</f>
        <v/>
      </c>
    </row>
    <row r="105" spans="1:29" hidden="1" outlineLevel="1" x14ac:dyDescent="0.25">
      <c r="A105" s="22" t="s">
        <v>83</v>
      </c>
      <c r="B105" s="41" t="str">
        <f t="shared" si="3"/>
        <v/>
      </c>
      <c r="C105" s="42">
        <f t="shared" si="4"/>
        <v>104</v>
      </c>
      <c r="D105" s="208" t="s">
        <v>9</v>
      </c>
      <c r="E105" s="38"/>
      <c r="F105" s="209" t="s">
        <v>9</v>
      </c>
      <c r="G105" s="197"/>
      <c r="H105" s="38"/>
      <c r="I105" s="38" t="s">
        <v>9</v>
      </c>
      <c r="J105" s="38"/>
      <c r="K105" s="14" t="s">
        <v>24</v>
      </c>
      <c r="L105" s="14" t="s">
        <v>27</v>
      </c>
      <c r="M105" s="211" t="s">
        <v>538</v>
      </c>
      <c r="N105" s="14" t="s">
        <v>539</v>
      </c>
      <c r="O105" s="43">
        <v>2.1179999999999999</v>
      </c>
      <c r="R105" s="38" t="s">
        <v>103</v>
      </c>
      <c r="S105" s="172" t="s">
        <v>111</v>
      </c>
      <c r="T105" s="167" t="s">
        <v>309</v>
      </c>
      <c r="U105" s="167" t="s">
        <v>309</v>
      </c>
      <c r="V105" s="167" t="s">
        <v>540</v>
      </c>
      <c r="W105" s="15" t="s">
        <v>103</v>
      </c>
      <c r="Y105" s="167" t="s">
        <v>541</v>
      </c>
      <c r="Z105" s="59" t="str">
        <f>IF(OR($M105="",NOT($O105="{array}")),"",IFERROR(MATCH(PARAMETERS!$M105,DEFAULT!$B$5:$BZ$5,0),""))</f>
        <v/>
      </c>
      <c r="AA105" s="56" t="str">
        <f t="shared" si="5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IF($AA105="","",IF($B105="I",VLOOKUP($AA105,#REF!,53,0),INDEX(VALUES!$B$1:$AO$1,1,$AA105)))</f>
        <v/>
      </c>
    </row>
    <row r="106" spans="1:29" hidden="1" outlineLevel="1" x14ac:dyDescent="0.3">
      <c r="A106" s="22" t="s">
        <v>83</v>
      </c>
      <c r="B106" s="41" t="str">
        <f t="shared" si="3"/>
        <v/>
      </c>
      <c r="C106" s="42">
        <f t="shared" si="4"/>
        <v>105</v>
      </c>
      <c r="D106" s="208" t="s">
        <v>9</v>
      </c>
      <c r="E106" s="38"/>
      <c r="F106" s="209" t="s">
        <v>9</v>
      </c>
      <c r="G106" s="197" t="s">
        <v>9</v>
      </c>
      <c r="H106" s="38"/>
      <c r="I106" s="38" t="s">
        <v>9</v>
      </c>
      <c r="J106" s="38"/>
      <c r="K106" s="14" t="s">
        <v>44</v>
      </c>
      <c r="L106" s="14" t="s">
        <v>27</v>
      </c>
      <c r="M106" s="211" t="s">
        <v>542</v>
      </c>
      <c r="N106" s="14" t="s">
        <v>543</v>
      </c>
      <c r="O106" s="43">
        <v>1</v>
      </c>
      <c r="R106" s="38" t="s">
        <v>103</v>
      </c>
      <c r="S106" s="38"/>
      <c r="T106" s="38"/>
      <c r="W106" s="15" t="s">
        <v>103</v>
      </c>
      <c r="Z106" s="59" t="str">
        <f>IF(OR($M106="",NOT($O106="{array}")),"",IFERROR(MATCH(PARAMETERS!$M106,DEFAULT!$B$5:$BZ$5,0),""))</f>
        <v/>
      </c>
      <c r="AA106" s="56" t="str">
        <f t="shared" si="5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IF($AA106="","",IF($B106="I",VLOOKUP($AA106,#REF!,53,0),INDEX(VALUES!$B$1:$AO$1,1,$AA106)))</f>
        <v/>
      </c>
    </row>
    <row r="107" spans="1:29" hidden="1" outlineLevel="1" x14ac:dyDescent="0.3">
      <c r="A107" s="22" t="s">
        <v>83</v>
      </c>
      <c r="B107" s="41" t="str">
        <f t="shared" si="3"/>
        <v/>
      </c>
      <c r="C107" s="42">
        <f t="shared" si="4"/>
        <v>106</v>
      </c>
      <c r="D107" s="208" t="s">
        <v>9</v>
      </c>
      <c r="E107" s="38"/>
      <c r="F107" s="209" t="s">
        <v>9</v>
      </c>
      <c r="G107" s="197" t="s">
        <v>9</v>
      </c>
      <c r="H107" s="38"/>
      <c r="I107" s="38" t="s">
        <v>9</v>
      </c>
      <c r="J107" s="38"/>
      <c r="K107" s="146" t="s">
        <v>47</v>
      </c>
      <c r="L107" s="146" t="s">
        <v>27</v>
      </c>
      <c r="M107" s="214" t="s">
        <v>544</v>
      </c>
      <c r="N107" s="146" t="s">
        <v>545</v>
      </c>
      <c r="O107" s="205">
        <v>0</v>
      </c>
      <c r="P107" s="146"/>
      <c r="Q107" s="206"/>
      <c r="R107" s="206" t="s">
        <v>103</v>
      </c>
      <c r="S107" s="194"/>
      <c r="T107" s="194"/>
      <c r="U107" s="193"/>
      <c r="V107" s="193"/>
      <c r="W107" s="195" t="s">
        <v>103</v>
      </c>
      <c r="Y107" s="193"/>
      <c r="Z107" s="59" t="str">
        <f>IF(OR($M107="",NOT($O107="{array}")),"",IFERROR(MATCH(PARAMETERS!$M107,DEFAULT!$B$5:$BZ$5,0),""))</f>
        <v/>
      </c>
      <c r="AA107" s="56" t="str">
        <f t="shared" si="5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IF($AA107="","",IF($B107="I",VLOOKUP($AA107,#REF!,53,0),INDEX(VALUES!$B$1:$AO$1,1,$AA107)))</f>
        <v/>
      </c>
    </row>
    <row r="108" spans="1:29" hidden="1" outlineLevel="1" x14ac:dyDescent="0.3">
      <c r="A108" s="22" t="s">
        <v>83</v>
      </c>
      <c r="B108" s="41" t="str">
        <f t="shared" si="3"/>
        <v/>
      </c>
      <c r="C108" s="42">
        <f t="shared" si="4"/>
        <v>107</v>
      </c>
      <c r="D108" s="208" t="s">
        <v>9</v>
      </c>
      <c r="E108" s="38"/>
      <c r="F108" s="209" t="s">
        <v>9</v>
      </c>
      <c r="G108" s="197" t="s">
        <v>9</v>
      </c>
      <c r="H108" s="38"/>
      <c r="I108" s="38" t="s">
        <v>9</v>
      </c>
      <c r="J108" s="38"/>
      <c r="K108" s="146" t="s">
        <v>47</v>
      </c>
      <c r="L108" s="146" t="s">
        <v>27</v>
      </c>
      <c r="M108" s="214" t="s">
        <v>546</v>
      </c>
      <c r="N108" s="146" t="s">
        <v>547</v>
      </c>
      <c r="O108" s="205">
        <v>1</v>
      </c>
      <c r="P108" s="146"/>
      <c r="Q108" s="206"/>
      <c r="R108" s="206" t="s">
        <v>103</v>
      </c>
      <c r="S108" s="194"/>
      <c r="T108" s="194"/>
      <c r="U108" s="193"/>
      <c r="V108" s="193"/>
      <c r="W108" s="195" t="s">
        <v>103</v>
      </c>
      <c r="Y108" s="193"/>
      <c r="Z108" s="59" t="str">
        <f>IF(OR($M108="",NOT($O108="{array}")),"",IFERROR(MATCH(PARAMETERS!$M108,DEFAULT!$B$5:$BZ$5,0),""))</f>
        <v/>
      </c>
      <c r="AA108" s="56" t="str">
        <f t="shared" si="5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IF($AA108="","",IF($B108="I",VLOOKUP($AA108,#REF!,53,0),INDEX(VALUES!$B$1:$AO$1,1,$AA108)))</f>
        <v/>
      </c>
    </row>
    <row r="109" spans="1:29" hidden="1" outlineLevel="1" x14ac:dyDescent="0.3">
      <c r="A109" s="22" t="s">
        <v>83</v>
      </c>
      <c r="B109" s="41" t="str">
        <f t="shared" si="3"/>
        <v/>
      </c>
      <c r="C109" s="42">
        <f t="shared" si="4"/>
        <v>108</v>
      </c>
      <c r="D109" s="208" t="s">
        <v>9</v>
      </c>
      <c r="E109" s="38"/>
      <c r="F109" s="209" t="s">
        <v>9</v>
      </c>
      <c r="G109" s="197" t="s">
        <v>9</v>
      </c>
      <c r="H109" s="38"/>
      <c r="I109" s="38" t="s">
        <v>9</v>
      </c>
      <c r="J109" s="38"/>
      <c r="K109" s="146" t="s">
        <v>47</v>
      </c>
      <c r="L109" s="146" t="s">
        <v>27</v>
      </c>
      <c r="M109" s="214" t="s">
        <v>548</v>
      </c>
      <c r="N109" s="146" t="s">
        <v>549</v>
      </c>
      <c r="O109" s="205">
        <v>0</v>
      </c>
      <c r="P109" s="146"/>
      <c r="Q109" s="206"/>
      <c r="R109" s="206" t="s">
        <v>103</v>
      </c>
      <c r="S109" s="194"/>
      <c r="T109" s="194"/>
      <c r="U109" s="193"/>
      <c r="V109" s="193"/>
      <c r="W109" s="195" t="s">
        <v>103</v>
      </c>
      <c r="Y109" s="193"/>
      <c r="Z109" s="59" t="str">
        <f>IF(OR($M109="",NOT($O109="{array}")),"",IFERROR(MATCH(PARAMETERS!$M109,DEFAULT!$B$5:$BZ$5,0),""))</f>
        <v/>
      </c>
      <c r="AA109" s="56" t="str">
        <f t="shared" si="5"/>
        <v/>
      </c>
      <c r="AC109" s="17"/>
    </row>
    <row r="110" spans="1:29" hidden="1" outlineLevel="1" x14ac:dyDescent="0.3">
      <c r="A110" s="22" t="s">
        <v>83</v>
      </c>
      <c r="B110" s="41" t="str">
        <f t="shared" si="3"/>
        <v/>
      </c>
      <c r="C110" s="42">
        <f t="shared" si="4"/>
        <v>109</v>
      </c>
      <c r="D110" s="208" t="s">
        <v>9</v>
      </c>
      <c r="E110" s="38"/>
      <c r="F110" s="209" t="s">
        <v>9</v>
      </c>
      <c r="G110" s="197" t="s">
        <v>9</v>
      </c>
      <c r="H110" s="38"/>
      <c r="I110" s="38" t="s">
        <v>9</v>
      </c>
      <c r="J110" s="38"/>
      <c r="K110" s="146" t="s">
        <v>47</v>
      </c>
      <c r="L110" s="146" t="s">
        <v>27</v>
      </c>
      <c r="M110" s="214" t="s">
        <v>550</v>
      </c>
      <c r="N110" s="146" t="s">
        <v>551</v>
      </c>
      <c r="O110" s="205">
        <v>0</v>
      </c>
      <c r="P110" s="146"/>
      <c r="Q110" s="206"/>
      <c r="R110" s="206" t="s">
        <v>103</v>
      </c>
      <c r="S110" s="194"/>
      <c r="T110" s="194"/>
      <c r="U110" s="193"/>
      <c r="V110" s="193"/>
      <c r="W110" s="195" t="s">
        <v>103</v>
      </c>
      <c r="Y110" s="193"/>
      <c r="Z110" s="59" t="str">
        <f>IF(OR($M110="",NOT($O110="{array}")),"",IFERROR(MATCH(PARAMETERS!$M110,DEFAULT!$B$5:$BZ$5,0),""))</f>
        <v/>
      </c>
      <c r="AA110" s="56" t="str">
        <f t="shared" si="5"/>
        <v/>
      </c>
      <c r="AC110" s="17"/>
    </row>
    <row r="111" spans="1:29" hidden="1" outlineLevel="1" x14ac:dyDescent="0.3">
      <c r="A111" s="22" t="s">
        <v>83</v>
      </c>
      <c r="B111" s="41" t="str">
        <f t="shared" si="3"/>
        <v/>
      </c>
      <c r="C111" s="42">
        <f t="shared" si="4"/>
        <v>110</v>
      </c>
      <c r="D111" s="208" t="s">
        <v>9</v>
      </c>
      <c r="E111" s="38"/>
      <c r="F111" s="209" t="s">
        <v>9</v>
      </c>
      <c r="G111" s="197" t="s">
        <v>9</v>
      </c>
      <c r="H111" s="38"/>
      <c r="I111" s="38" t="s">
        <v>9</v>
      </c>
      <c r="J111" s="38"/>
      <c r="K111" s="146" t="s">
        <v>47</v>
      </c>
      <c r="L111" s="146" t="s">
        <v>27</v>
      </c>
      <c r="M111" s="214" t="s">
        <v>552</v>
      </c>
      <c r="N111" s="146" t="s">
        <v>553</v>
      </c>
      <c r="O111" s="205">
        <v>0</v>
      </c>
      <c r="P111" s="146"/>
      <c r="Q111" s="206"/>
      <c r="R111" s="206" t="s">
        <v>103</v>
      </c>
      <c r="S111" s="194"/>
      <c r="T111" s="194"/>
      <c r="U111" s="193"/>
      <c r="V111" s="193"/>
      <c r="W111" s="195" t="s">
        <v>103</v>
      </c>
      <c r="Y111" s="193"/>
      <c r="Z111" s="59" t="str">
        <f>IF(OR($M111="",NOT($O111="{array}")),"",IFERROR(MATCH(PARAMETERS!$M111,DEFAULT!$B$5:$BZ$5,0),""))</f>
        <v/>
      </c>
      <c r="AA111" s="56" t="str">
        <f t="shared" ref="AA111:AA174" si="6">IF($M111="","",IFERROR(MATCH($M111,VALUESnames,0),""))</f>
        <v/>
      </c>
      <c r="AC111" s="17"/>
    </row>
    <row r="112" spans="1:29" hidden="1" outlineLevel="1" x14ac:dyDescent="0.3">
      <c r="A112" s="22" t="s">
        <v>83</v>
      </c>
      <c r="B112" s="41" t="str">
        <f t="shared" si="3"/>
        <v/>
      </c>
      <c r="C112" s="42">
        <f t="shared" si="4"/>
        <v>111</v>
      </c>
      <c r="D112" s="208" t="s">
        <v>9</v>
      </c>
      <c r="E112" s="38"/>
      <c r="F112" s="209" t="s">
        <v>9</v>
      </c>
      <c r="G112" s="197" t="s">
        <v>9</v>
      </c>
      <c r="H112" s="38"/>
      <c r="I112" s="38" t="s">
        <v>9</v>
      </c>
      <c r="J112" s="38"/>
      <c r="K112" s="146" t="s">
        <v>47</v>
      </c>
      <c r="L112" s="146" t="s">
        <v>27</v>
      </c>
      <c r="M112" s="214" t="s">
        <v>554</v>
      </c>
      <c r="N112" s="146" t="s">
        <v>555</v>
      </c>
      <c r="O112" s="205">
        <v>0</v>
      </c>
      <c r="P112" s="146"/>
      <c r="Q112" s="206"/>
      <c r="R112" s="206" t="s">
        <v>103</v>
      </c>
      <c r="S112" s="194"/>
      <c r="T112" s="194"/>
      <c r="U112" s="193"/>
      <c r="V112" s="193"/>
      <c r="W112" s="195" t="s">
        <v>103</v>
      </c>
      <c r="Y112" s="193"/>
      <c r="Z112" s="59" t="str">
        <f>IF(OR($M112="",NOT($O112="{array}")),"",IFERROR(MATCH(PARAMETERS!$M112,DEFAULT!$B$5:$BZ$5,0),""))</f>
        <v/>
      </c>
      <c r="AA112" s="56" t="str">
        <f t="shared" si="6"/>
        <v/>
      </c>
      <c r="AC112" s="17"/>
    </row>
    <row r="113" spans="1:29" hidden="1" outlineLevel="1" x14ac:dyDescent="0.3">
      <c r="A113" s="22" t="s">
        <v>83</v>
      </c>
      <c r="B113" s="41" t="str">
        <f t="shared" si="3"/>
        <v/>
      </c>
      <c r="C113" s="42">
        <f t="shared" si="4"/>
        <v>112</v>
      </c>
      <c r="D113" s="208" t="s">
        <v>9</v>
      </c>
      <c r="E113" s="38"/>
      <c r="F113" s="209" t="s">
        <v>9</v>
      </c>
      <c r="G113" s="197" t="s">
        <v>9</v>
      </c>
      <c r="H113" s="38"/>
      <c r="I113" s="38" t="s">
        <v>9</v>
      </c>
      <c r="J113" s="38"/>
      <c r="K113" s="53" t="s">
        <v>47</v>
      </c>
      <c r="L113" s="53" t="s">
        <v>27</v>
      </c>
      <c r="M113" s="181" t="s">
        <v>1025</v>
      </c>
      <c r="N113" s="53" t="s">
        <v>1026</v>
      </c>
      <c r="O113" s="149">
        <v>1</v>
      </c>
      <c r="P113" s="53"/>
      <c r="Q113" s="197"/>
      <c r="R113" s="197" t="s">
        <v>197</v>
      </c>
      <c r="S113" s="194"/>
      <c r="T113" s="194"/>
      <c r="U113" s="193"/>
      <c r="V113" s="193"/>
      <c r="W113" s="195" t="s">
        <v>309</v>
      </c>
      <c r="Y113" s="193"/>
      <c r="Z113" s="59" t="str">
        <f>IF(OR($M113="",NOT($O113="{array}")),"",IFERROR(MATCH(PARAMETERS!$M113,DEFAULT!$B$5:$BZ$5,0),""))</f>
        <v/>
      </c>
      <c r="AA113" s="56" t="str">
        <f t="shared" si="6"/>
        <v/>
      </c>
      <c r="AC113" s="17"/>
    </row>
    <row r="114" spans="1:29" hidden="1" outlineLevel="1" x14ac:dyDescent="0.3">
      <c r="A114" s="22" t="s">
        <v>83</v>
      </c>
      <c r="B114" s="41" t="str">
        <f t="shared" si="3"/>
        <v/>
      </c>
      <c r="C114" s="42">
        <f t="shared" si="4"/>
        <v>113</v>
      </c>
      <c r="D114" s="208" t="s">
        <v>9</v>
      </c>
      <c r="E114" s="38"/>
      <c r="F114" s="209" t="s">
        <v>9</v>
      </c>
      <c r="G114" s="197" t="s">
        <v>9</v>
      </c>
      <c r="H114" s="38"/>
      <c r="I114" s="38" t="s">
        <v>9</v>
      </c>
      <c r="J114" s="38"/>
      <c r="K114" s="14" t="s">
        <v>47</v>
      </c>
      <c r="L114" s="14" t="s">
        <v>27</v>
      </c>
      <c r="M114" s="211" t="s">
        <v>556</v>
      </c>
      <c r="N114" s="14" t="s">
        <v>557</v>
      </c>
      <c r="O114" s="43">
        <v>0</v>
      </c>
      <c r="R114" s="38" t="s">
        <v>103</v>
      </c>
      <c r="S114" s="38"/>
      <c r="T114" s="38"/>
      <c r="W114" s="15" t="s">
        <v>103</v>
      </c>
      <c r="Z114" s="59" t="str">
        <f>IF(OR($M114="",NOT($O114="{array}")),"",IFERROR(MATCH(PARAMETERS!$M114,DEFAULT!$B$5:$BZ$5,0),""))</f>
        <v/>
      </c>
      <c r="AA114" s="56" t="str">
        <f t="shared" si="6"/>
        <v/>
      </c>
      <c r="AC114" s="17"/>
    </row>
    <row r="115" spans="1:29" hidden="1" outlineLevel="1" x14ac:dyDescent="0.3">
      <c r="A115" s="22" t="s">
        <v>83</v>
      </c>
      <c r="B115" s="41" t="str">
        <f t="shared" si="3"/>
        <v/>
      </c>
      <c r="C115" s="42">
        <f t="shared" si="4"/>
        <v>114</v>
      </c>
      <c r="D115" s="208" t="s">
        <v>9</v>
      </c>
      <c r="E115" s="38"/>
      <c r="F115" s="209" t="s">
        <v>9</v>
      </c>
      <c r="G115" s="197" t="s">
        <v>9</v>
      </c>
      <c r="H115" s="38"/>
      <c r="I115" s="38" t="s">
        <v>9</v>
      </c>
      <c r="J115" s="38"/>
      <c r="K115" s="215" t="s">
        <v>24</v>
      </c>
      <c r="L115" s="215" t="s">
        <v>27</v>
      </c>
      <c r="M115" s="211" t="s">
        <v>829</v>
      </c>
      <c r="N115" s="215" t="s">
        <v>830</v>
      </c>
      <c r="O115" s="43">
        <v>0</v>
      </c>
      <c r="R115" s="38" t="s">
        <v>197</v>
      </c>
      <c r="S115" s="38"/>
      <c r="T115" s="38"/>
      <c r="W115" s="15" t="s">
        <v>309</v>
      </c>
      <c r="Z115" s="59" t="str">
        <f>IF(OR($M115="",NOT($O115="{array}")),"",IFERROR(MATCH(PARAMETERS!$M115,DEFAULT!$B$5:$BZ$5,0),""))</f>
        <v/>
      </c>
      <c r="AA115" s="56" t="str">
        <f t="shared" si="6"/>
        <v/>
      </c>
      <c r="AC115" s="17"/>
    </row>
    <row r="116" spans="1:29" hidden="1" outlineLevel="1" x14ac:dyDescent="0.3">
      <c r="A116" s="22" t="s">
        <v>83</v>
      </c>
      <c r="B116" s="41" t="str">
        <f t="shared" si="3"/>
        <v/>
      </c>
      <c r="C116" s="42">
        <f t="shared" si="4"/>
        <v>115</v>
      </c>
      <c r="D116" s="208" t="s">
        <v>9</v>
      </c>
      <c r="E116" s="38"/>
      <c r="F116" s="209" t="s">
        <v>9</v>
      </c>
      <c r="G116" s="197" t="s">
        <v>9</v>
      </c>
      <c r="H116" s="38"/>
      <c r="I116" s="38" t="s">
        <v>9</v>
      </c>
      <c r="J116" s="38"/>
      <c r="K116" s="215" t="s">
        <v>24</v>
      </c>
      <c r="L116" s="215" t="s">
        <v>27</v>
      </c>
      <c r="M116" s="211" t="s">
        <v>831</v>
      </c>
      <c r="N116" s="215" t="s">
        <v>832</v>
      </c>
      <c r="O116" s="43">
        <v>0</v>
      </c>
      <c r="R116" s="38" t="s">
        <v>197</v>
      </c>
      <c r="S116" s="38"/>
      <c r="T116" s="38"/>
      <c r="W116" s="15" t="s">
        <v>309</v>
      </c>
      <c r="Z116" s="59" t="str">
        <f>IF(OR($M116="",NOT($O116="{array}")),"",IFERROR(MATCH(PARAMETERS!$M116,DEFAULT!$B$5:$BZ$5,0),""))</f>
        <v/>
      </c>
      <c r="AA116" s="56" t="str">
        <f t="shared" si="6"/>
        <v/>
      </c>
      <c r="AC116" s="17"/>
    </row>
    <row r="117" spans="1:29" collapsed="1" x14ac:dyDescent="0.3">
      <c r="A117" s="22" t="s">
        <v>83</v>
      </c>
      <c r="B117" s="41" t="str">
        <f t="shared" si="3"/>
        <v/>
      </c>
      <c r="C117" s="42">
        <f t="shared" si="4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57</v>
      </c>
      <c r="L117" s="14" t="s">
        <v>38</v>
      </c>
      <c r="M117" s="213" t="s">
        <v>558</v>
      </c>
      <c r="N117" s="41" t="s">
        <v>486</v>
      </c>
      <c r="R117" s="38" t="s">
        <v>103</v>
      </c>
      <c r="S117" s="38"/>
      <c r="T117" s="38"/>
      <c r="W117" s="15" t="s">
        <v>309</v>
      </c>
      <c r="Z117" s="59" t="str">
        <f>IF(OR($M117="",NOT($O117="{array}")),"",IFERROR(MATCH(PARAMETERS!$M117,DEFAULT!$B$5:$BZ$5,0),""))</f>
        <v/>
      </c>
      <c r="AA117" s="56" t="str">
        <f t="shared" si="6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IF($AA117="","",IF($B117="I",VLOOKUP($AA117,#REF!,53,0),INDEX(VALUES!$B$1:$AO$1,1,$AA117)))</f>
        <v/>
      </c>
    </row>
    <row r="118" spans="1:29" hidden="1" outlineLevel="1" x14ac:dyDescent="0.3">
      <c r="A118" s="22" t="s">
        <v>83</v>
      </c>
      <c r="B118" s="41" t="str">
        <f t="shared" ref="B118:B160" si="7">IF($A118="P",IF(NOT($Z118=""),"A",IF(NOT($AA118=""),"I","")),IF(NOT($AA118=""),IF($A118="G","V","X"),IF(NOT($Z118=""),"A","")))</f>
        <v/>
      </c>
      <c r="C118" s="42">
        <f t="shared" ref="C118:C160" si="8">(ROW()-1)</f>
        <v>117</v>
      </c>
      <c r="D118" s="38"/>
      <c r="E118" s="38"/>
      <c r="F118" s="38" t="s">
        <v>9</v>
      </c>
      <c r="G118" s="38"/>
      <c r="H118" s="38" t="s">
        <v>9</v>
      </c>
      <c r="I118" s="38"/>
      <c r="J118" s="38"/>
      <c r="K118" s="14" t="s">
        <v>18</v>
      </c>
      <c r="L118" s="14" t="s">
        <v>27</v>
      </c>
      <c r="M118" s="211" t="s">
        <v>559</v>
      </c>
      <c r="N118" s="14" t="s">
        <v>560</v>
      </c>
      <c r="O118" s="43" t="s">
        <v>561</v>
      </c>
      <c r="R118" s="38" t="s">
        <v>103</v>
      </c>
      <c r="S118" s="38"/>
      <c r="T118" s="38"/>
      <c r="W118" s="15" t="s">
        <v>103</v>
      </c>
      <c r="Z118" s="59" t="str">
        <f>IF(OR($M118="",NOT($O118="{array}")),"",IFERROR(MATCH(PARAMETERS!$M118,DEFAULT!$B$5:$BZ$5,0),""))</f>
        <v/>
      </c>
      <c r="AA118" s="56" t="str">
        <f t="shared" si="6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IF($AA118="","",IF($B118="I",VLOOKUP($AA118,#REF!,53,0),INDEX(VALUES!$B$1:$AO$1,1,$AA118)))</f>
        <v/>
      </c>
    </row>
    <row r="119" spans="1:29" hidden="1" outlineLevel="1" x14ac:dyDescent="0.3">
      <c r="A119" s="22" t="s">
        <v>83</v>
      </c>
      <c r="B119" s="41" t="str">
        <f t="shared" si="7"/>
        <v/>
      </c>
      <c r="C119" s="42">
        <f t="shared" si="8"/>
        <v>118</v>
      </c>
      <c r="D119" s="38"/>
      <c r="E119" s="38"/>
      <c r="F119" s="38" t="s">
        <v>9</v>
      </c>
      <c r="G119" s="38" t="s">
        <v>9</v>
      </c>
      <c r="H119" s="38"/>
      <c r="I119" s="38" t="s">
        <v>9</v>
      </c>
      <c r="J119" s="38"/>
      <c r="K119" s="14" t="s">
        <v>44</v>
      </c>
      <c r="L119" s="14" t="s">
        <v>27</v>
      </c>
      <c r="M119" s="211" t="s">
        <v>562</v>
      </c>
      <c r="N119" s="14" t="s">
        <v>560</v>
      </c>
      <c r="O119" s="43">
        <v>1</v>
      </c>
      <c r="R119" s="38" t="s">
        <v>103</v>
      </c>
      <c r="S119" s="38"/>
      <c r="T119" s="38"/>
      <c r="W119" s="15" t="s">
        <v>103</v>
      </c>
      <c r="Z119" s="59" t="str">
        <f>IF(OR($M119="",NOT($O119="{array}")),"",IFERROR(MATCH(PARAMETERS!$M119,DEFAULT!$B$5:$BZ$5,0),""))</f>
        <v/>
      </c>
      <c r="AA119" s="56" t="str">
        <f t="shared" si="6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IF($AA119="","",IF($B119="I",VLOOKUP($AA119,#REF!,53,0),INDEX(VALUES!$B$1:$AO$1,1,$AA119)))</f>
        <v/>
      </c>
    </row>
    <row r="120" spans="1:29" hidden="1" outlineLevel="1" x14ac:dyDescent="0.3">
      <c r="A120" s="22" t="s">
        <v>83</v>
      </c>
      <c r="B120" s="41" t="str">
        <f t="shared" si="7"/>
        <v/>
      </c>
      <c r="C120" s="42">
        <f t="shared" si="8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14" t="s">
        <v>24</v>
      </c>
      <c r="L120" s="14" t="s">
        <v>27</v>
      </c>
      <c r="M120" s="211" t="s">
        <v>563</v>
      </c>
      <c r="N120" s="14" t="s">
        <v>564</v>
      </c>
      <c r="O120" s="43">
        <v>0.05</v>
      </c>
      <c r="R120" s="38" t="s">
        <v>103</v>
      </c>
      <c r="S120" s="38"/>
      <c r="T120" s="38"/>
      <c r="W120" s="15" t="s">
        <v>103</v>
      </c>
      <c r="Z120" s="59" t="str">
        <f>IF(OR($M120="",NOT($O120="{array}")),"",IFERROR(MATCH(PARAMETERS!$M120,DEFAULT!$B$5:$BZ$5,0),""))</f>
        <v/>
      </c>
      <c r="AA120" s="56" t="str">
        <f t="shared" si="6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IF($AA120="","",IF($B120="I",VLOOKUP($AA120,#REF!,53,0),INDEX(VALUES!$B$1:$AO$1,1,$AA120)))</f>
        <v/>
      </c>
    </row>
    <row r="121" spans="1:29" collapsed="1" x14ac:dyDescent="0.3">
      <c r="A121" s="22" t="s">
        <v>83</v>
      </c>
      <c r="B121" s="41" t="str">
        <f t="shared" si="7"/>
        <v/>
      </c>
      <c r="C121" s="42">
        <f t="shared" si="8"/>
        <v>120</v>
      </c>
      <c r="D121" s="38"/>
      <c r="E121" s="38"/>
      <c r="F121" s="38" t="s">
        <v>9</v>
      </c>
      <c r="G121" s="38"/>
      <c r="H121" s="38"/>
      <c r="I121" s="38"/>
      <c r="J121" s="38"/>
      <c r="K121" s="14" t="s">
        <v>57</v>
      </c>
      <c r="L121" s="14" t="s">
        <v>38</v>
      </c>
      <c r="M121" s="213" t="s">
        <v>565</v>
      </c>
      <c r="N121" s="41" t="s">
        <v>566</v>
      </c>
      <c r="R121" s="38" t="s">
        <v>103</v>
      </c>
      <c r="S121" s="38"/>
      <c r="T121" s="38"/>
      <c r="W121" s="15" t="s">
        <v>103</v>
      </c>
      <c r="Z121" s="59" t="str">
        <f>IF(OR($M121="",NOT($O121="{array}")),"",IFERROR(MATCH(PARAMETERS!$M121,DEFAULT!$B$5:$BZ$5,0),""))</f>
        <v/>
      </c>
      <c r="AA121" s="56" t="str">
        <f t="shared" si="6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IF($AA121="","",IF($B121="I",VLOOKUP($AA121,#REF!,53,0),INDEX(VALUES!$B$1:$AO$1,1,$AA121)))</f>
        <v/>
      </c>
    </row>
    <row r="122" spans="1:29" outlineLevel="1" x14ac:dyDescent="0.3">
      <c r="A122" s="22"/>
      <c r="B122" s="41" t="str">
        <f t="shared" si="7"/>
        <v/>
      </c>
      <c r="C122" s="42">
        <f t="shared" si="8"/>
        <v>121</v>
      </c>
      <c r="D122" s="38"/>
      <c r="E122" s="38"/>
      <c r="F122" s="38"/>
      <c r="G122" s="38"/>
      <c r="H122" s="38"/>
      <c r="I122" s="38" t="s">
        <v>9</v>
      </c>
      <c r="J122" s="38"/>
      <c r="K122" s="53" t="s">
        <v>18</v>
      </c>
      <c r="L122" s="53" t="s">
        <v>32</v>
      </c>
      <c r="M122" s="181" t="s">
        <v>567</v>
      </c>
      <c r="N122" s="53" t="s">
        <v>568</v>
      </c>
      <c r="O122" s="149" t="str">
        <f>"UZ"</f>
        <v>UZ</v>
      </c>
      <c r="R122" s="38" t="s">
        <v>197</v>
      </c>
      <c r="S122" s="38"/>
      <c r="T122" s="38"/>
      <c r="W122" s="15"/>
      <c r="Z122" s="59" t="str">
        <f>IF(OR($M122="",NOT($O122="{array}")),"",IFERROR(MATCH(PARAMETERS!$M122,DEFAULT!$B$5:$BZ$5,0),""))</f>
        <v/>
      </c>
      <c r="AA122" s="56" t="str">
        <f t="shared" si="6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IF($AA122="","",IF($B122="I",VLOOKUP($AA122,#REF!,53,0),INDEX(VALUES!$B$1:$AO$1,1,$AA122)))</f>
        <v/>
      </c>
    </row>
    <row r="123" spans="1:29" outlineLevel="1" x14ac:dyDescent="0.25">
      <c r="A123" s="22" t="s">
        <v>83</v>
      </c>
      <c r="B123" s="41" t="str">
        <f t="shared" si="7"/>
        <v/>
      </c>
      <c r="C123" s="42">
        <f t="shared" si="8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14" t="s">
        <v>18</v>
      </c>
      <c r="L123" s="14" t="s">
        <v>27</v>
      </c>
      <c r="M123" s="211" t="s">
        <v>569</v>
      </c>
      <c r="N123" s="14" t="s">
        <v>570</v>
      </c>
      <c r="O123" s="43" t="s">
        <v>179</v>
      </c>
      <c r="Q123" s="172"/>
      <c r="R123" s="172"/>
      <c r="S123" s="172" t="s">
        <v>111</v>
      </c>
      <c r="T123" s="167" t="s">
        <v>309</v>
      </c>
      <c r="U123" s="167" t="s">
        <v>309</v>
      </c>
      <c r="V123" s="167" t="s">
        <v>571</v>
      </c>
      <c r="W123" s="15" t="s">
        <v>103</v>
      </c>
      <c r="X123" s="161">
        <v>25</v>
      </c>
      <c r="Y123" s="167" t="s">
        <v>572</v>
      </c>
      <c r="Z123" s="59" t="str">
        <f>IF(OR($M123="",NOT($O123="{array}")),"",IFERROR(MATCH(PARAMETERS!$M123,DEFAULT!$B$5:$BZ$5,0),""))</f>
        <v/>
      </c>
      <c r="AA123" s="56" t="str">
        <f t="shared" si="6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IF($AA123="","",IF($B123="I",VLOOKUP($AA123,#REF!,53,0),INDEX(VALUES!$B$1:$AO$1,1,$AA123)))</f>
        <v/>
      </c>
    </row>
    <row r="124" spans="1:29" outlineLevel="1" x14ac:dyDescent="0.3">
      <c r="A124" s="22" t="s">
        <v>83</v>
      </c>
      <c r="B124" s="41" t="str">
        <f t="shared" si="7"/>
        <v/>
      </c>
      <c r="C124" s="42">
        <f t="shared" si="8"/>
        <v>123</v>
      </c>
      <c r="D124" s="38"/>
      <c r="E124" s="38"/>
      <c r="F124" s="38" t="s">
        <v>9</v>
      </c>
      <c r="G124" s="38" t="s">
        <v>9</v>
      </c>
      <c r="H124" s="38"/>
      <c r="I124" s="38" t="s">
        <v>9</v>
      </c>
      <c r="J124" s="38"/>
      <c r="K124" s="14" t="s">
        <v>44</v>
      </c>
      <c r="L124" s="14" t="s">
        <v>27</v>
      </c>
      <c r="M124" s="211" t="s">
        <v>573</v>
      </c>
      <c r="N124" s="14" t="s">
        <v>570</v>
      </c>
      <c r="O124" s="43">
        <v>1</v>
      </c>
      <c r="R124" s="38" t="s">
        <v>103</v>
      </c>
      <c r="S124" s="38"/>
      <c r="T124" s="38"/>
      <c r="W124" s="15" t="s">
        <v>103</v>
      </c>
      <c r="Z124" s="59" t="str">
        <f>IF(OR($M124="",NOT($O124="{array}")),"",IFERROR(MATCH(PARAMETERS!$M124,DEFAULT!$B$5:$BZ$5,0),""))</f>
        <v/>
      </c>
      <c r="AA124" s="56" t="str">
        <f t="shared" si="6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IF($AA124="","",IF($B124="I",VLOOKUP($AA124,#REF!,53,0),INDEX(VALUES!$B$1:$AO$1,1,$AA124)))</f>
        <v/>
      </c>
    </row>
    <row r="125" spans="1:29" outlineLevel="1" x14ac:dyDescent="0.25">
      <c r="A125" s="22" t="s">
        <v>83</v>
      </c>
      <c r="B125" s="41" t="str">
        <f>IF($A125="P",IF(NOT($Z125=""),"A",IF(NOT($AA125=""),"I","")),IF(NOT($AA125=""),IF($A125="G","V","X"),IF(NOT($Z125=""),"A","")))</f>
        <v/>
      </c>
      <c r="C125" s="42">
        <f t="shared" si="8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53" t="s">
        <v>18</v>
      </c>
      <c r="L125" s="53" t="s">
        <v>21</v>
      </c>
      <c r="M125" s="181" t="s">
        <v>842</v>
      </c>
      <c r="N125" s="53" t="s">
        <v>839</v>
      </c>
      <c r="O125" s="149"/>
      <c r="P125" s="53"/>
      <c r="Q125" s="197" t="s">
        <v>9</v>
      </c>
      <c r="R125" s="177" t="s">
        <v>102</v>
      </c>
      <c r="S125" s="38"/>
      <c r="T125" s="38"/>
      <c r="W125" s="15"/>
      <c r="Z125" s="59" t="str">
        <f>IF(OR($M125="",NOT($O125="{array}")),"",IFERROR(MATCH(PARAMETERS!$M125,DEFAULT!$B$5:$BZ$5,0),""))</f>
        <v/>
      </c>
      <c r="AA125" s="56" t="str">
        <f t="shared" si="6"/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IF($AA125="","",IF($B125="I",VLOOKUP($AA125,#REF!,53,0),INDEX(VALUES!$B$1:$AO$1,1,$AA125)))</f>
        <v/>
      </c>
    </row>
    <row r="126" spans="1:29" outlineLevel="1" x14ac:dyDescent="0.25">
      <c r="A126" s="22" t="s">
        <v>83</v>
      </c>
      <c r="B126" s="41" t="str">
        <f>IF($A126="P",IF(NOT($Z126=""),"A",IF(NOT($AA126=""),"I","")),IF(NOT($AA126=""),IF($A126="G","V","X"),IF(NOT($Z126=""),"A","")))</f>
        <v/>
      </c>
      <c r="C126" s="42">
        <f t="shared" si="8"/>
        <v>125</v>
      </c>
      <c r="D126" s="38"/>
      <c r="E126" s="38"/>
      <c r="F126" s="38" t="s">
        <v>9</v>
      </c>
      <c r="G126" s="38"/>
      <c r="H126" s="38"/>
      <c r="I126" s="38" t="s">
        <v>9</v>
      </c>
      <c r="J126" s="38"/>
      <c r="K126" s="53" t="s">
        <v>18</v>
      </c>
      <c r="L126" s="53" t="s">
        <v>21</v>
      </c>
      <c r="M126" s="181" t="s">
        <v>843</v>
      </c>
      <c r="N126" s="53" t="s">
        <v>840</v>
      </c>
      <c r="O126" s="149" t="s">
        <v>841</v>
      </c>
      <c r="P126" s="53"/>
      <c r="Q126" s="197" t="s">
        <v>9</v>
      </c>
      <c r="R126" s="177" t="s">
        <v>102</v>
      </c>
      <c r="S126" s="38"/>
      <c r="T126" s="38"/>
      <c r="W126" s="15"/>
      <c r="Z126" s="59" t="str">
        <f>IF(OR($M126="",NOT($O126="{array}")),"",IFERROR(MATCH(PARAMETERS!$M126,DEFAULT!$B$5:$BZ$5,0),""))</f>
        <v/>
      </c>
      <c r="AA126" s="56" t="str">
        <f t="shared" si="6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IF($AA126="","",IF($B126="I",VLOOKUP($AA126,#REF!,53,0),INDEX(VALUES!$B$1:$AO$1,1,$AA126)))</f>
        <v/>
      </c>
    </row>
    <row r="127" spans="1:29" outlineLevel="1" x14ac:dyDescent="0.25">
      <c r="A127" s="22" t="s">
        <v>83</v>
      </c>
      <c r="B127" s="41" t="str">
        <f>IF($A127="P",IF(NOT($Z127=""),"A",IF(NOT($AA127=""),"I","")),IF(NOT($AA127=""),IF($A127="G","V","X"),IF(NOT($Z127=""),"A","")))</f>
        <v/>
      </c>
      <c r="C127" s="42">
        <f t="shared" si="8"/>
        <v>126</v>
      </c>
      <c r="D127" s="38"/>
      <c r="E127" s="38"/>
      <c r="F127" s="38"/>
      <c r="G127" s="38"/>
      <c r="H127" s="38"/>
      <c r="I127" s="38" t="s">
        <v>9</v>
      </c>
      <c r="J127" s="38"/>
      <c r="K127" s="14" t="s">
        <v>44</v>
      </c>
      <c r="L127" s="14" t="s">
        <v>27</v>
      </c>
      <c r="M127" s="181" t="s">
        <v>893</v>
      </c>
      <c r="N127" s="14" t="s">
        <v>895</v>
      </c>
      <c r="O127" s="43">
        <v>3</v>
      </c>
      <c r="R127" s="38" t="s">
        <v>197</v>
      </c>
      <c r="S127" s="201" t="s">
        <v>111</v>
      </c>
      <c r="T127" s="168" t="s">
        <v>309</v>
      </c>
      <c r="U127" s="168"/>
      <c r="V127" s="167" t="s">
        <v>574</v>
      </c>
      <c r="W127" s="15" t="s">
        <v>309</v>
      </c>
      <c r="X127" s="161">
        <v>51</v>
      </c>
      <c r="Y127" s="167" t="s">
        <v>575</v>
      </c>
      <c r="Z127" s="59" t="str">
        <f>IF(OR($M127="",NOT($O127="{array}")),"",IFERROR(MATCH(PARAMETERS!$M127,DEFAULT!$B$5:$BZ$5,0),""))</f>
        <v/>
      </c>
      <c r="AA127" s="56" t="str">
        <f t="shared" si="6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IF($AA127="","",IF($B127="I",VLOOKUP($AA127,#REF!,53,0),INDEX(VALUES!$B$1:$AO$1,1,$AA127)))</f>
        <v/>
      </c>
    </row>
    <row r="128" spans="1:29" outlineLevel="1" x14ac:dyDescent="0.25">
      <c r="A128" s="22" t="s">
        <v>83</v>
      </c>
      <c r="B128" s="41" t="str">
        <f t="shared" si="7"/>
        <v>V</v>
      </c>
      <c r="C128" s="42">
        <f t="shared" si="8"/>
        <v>127</v>
      </c>
      <c r="D128" s="38"/>
      <c r="E128" s="38"/>
      <c r="F128" s="38"/>
      <c r="G128" s="38"/>
      <c r="H128" s="38"/>
      <c r="I128" s="38" t="s">
        <v>9</v>
      </c>
      <c r="J128" s="38"/>
      <c r="K128" s="167" t="s">
        <v>18</v>
      </c>
      <c r="L128" s="14" t="s">
        <v>32</v>
      </c>
      <c r="M128" s="181" t="s">
        <v>844</v>
      </c>
      <c r="N128" s="167" t="s">
        <v>576</v>
      </c>
      <c r="O128" s="167" t="s">
        <v>845</v>
      </c>
      <c r="P128" s="161" t="s">
        <v>309</v>
      </c>
      <c r="Q128" s="172"/>
      <c r="R128" s="172" t="s">
        <v>102</v>
      </c>
      <c r="S128" s="172" t="s">
        <v>111</v>
      </c>
      <c r="T128" s="167" t="s">
        <v>309</v>
      </c>
      <c r="U128" s="167" t="s">
        <v>309</v>
      </c>
      <c r="V128" s="167" t="s">
        <v>576</v>
      </c>
      <c r="W128" s="15" t="s">
        <v>309</v>
      </c>
      <c r="X128" s="161">
        <v>46</v>
      </c>
      <c r="Y128" s="167" t="s">
        <v>577</v>
      </c>
      <c r="Z128" s="59" t="str">
        <f>IF(OR($M128="",NOT($O128="{array}")),"",IFERROR(MATCH(PARAMETERS!$M128,DEFAULT!$B$5:$BZ$5,0),""))</f>
        <v/>
      </c>
      <c r="AA128" s="56">
        <f t="shared" si="6"/>
        <v>4</v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IF($AA128="","",IF($B128="I",VLOOKUP($AA128,#REF!,53,0),INDEX(VALUES!$B$1:$AO$1,1,$AA128)))</f>
        <v>ST | HO | AL | KU</v>
      </c>
    </row>
    <row r="129" spans="1:29" outlineLevel="1" x14ac:dyDescent="0.3">
      <c r="A129" s="22" t="s">
        <v>83</v>
      </c>
      <c r="B129" s="41" t="str">
        <f t="shared" si="7"/>
        <v/>
      </c>
      <c r="C129" s="42">
        <f t="shared" si="8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47</v>
      </c>
      <c r="L129" s="14" t="s">
        <v>27</v>
      </c>
      <c r="M129" s="211" t="s">
        <v>578</v>
      </c>
      <c r="N129" s="14" t="s">
        <v>579</v>
      </c>
      <c r="O129" s="43">
        <v>1</v>
      </c>
      <c r="R129" s="38" t="s">
        <v>103</v>
      </c>
      <c r="S129" s="38"/>
      <c r="T129" s="38"/>
      <c r="W129" s="15" t="s">
        <v>103</v>
      </c>
      <c r="Z129" s="59" t="str">
        <f>IF(OR($M129="",NOT($O129="{array}")),"",IFERROR(MATCH(PARAMETERS!$M129,DEFAULT!$B$5:$BZ$5,0),""))</f>
        <v/>
      </c>
      <c r="AA129" s="56" t="str">
        <f t="shared" si="6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IF($AA129="","",IF($B129="I",VLOOKUP($AA129,#REF!,53,0),INDEX(VALUES!$B$1:$AO$1,1,$AA129)))</f>
        <v/>
      </c>
    </row>
    <row r="130" spans="1:29" outlineLevel="1" x14ac:dyDescent="0.3">
      <c r="A130" s="22" t="s">
        <v>83</v>
      </c>
      <c r="B130" s="41" t="str">
        <f t="shared" si="7"/>
        <v/>
      </c>
      <c r="C130" s="42">
        <f t="shared" si="8"/>
        <v>129</v>
      </c>
      <c r="D130" s="38"/>
      <c r="E130" s="38"/>
      <c r="F130" s="38" t="s">
        <v>9</v>
      </c>
      <c r="G130" s="38"/>
      <c r="H130" s="38"/>
      <c r="I130" s="38" t="s">
        <v>9</v>
      </c>
      <c r="J130" s="38"/>
      <c r="K130" s="14" t="s">
        <v>24</v>
      </c>
      <c r="L130" s="14" t="s">
        <v>27</v>
      </c>
      <c r="M130" s="211" t="s">
        <v>580</v>
      </c>
      <c r="N130" s="14" t="s">
        <v>581</v>
      </c>
      <c r="O130" s="43">
        <v>0.1</v>
      </c>
      <c r="R130" s="38" t="s">
        <v>103</v>
      </c>
      <c r="S130" s="38"/>
      <c r="T130" s="38"/>
      <c r="W130" s="15" t="s">
        <v>103</v>
      </c>
      <c r="Z130" s="59" t="str">
        <f>IF(OR($M130="",NOT($O130="{array}")),"",IFERROR(MATCH(PARAMETERS!$M130,DEFAULT!$B$5:$BZ$5,0),""))</f>
        <v/>
      </c>
      <c r="AA130" s="56" t="str">
        <f t="shared" si="6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IF($AA130="","",IF($B130="I",VLOOKUP($AA130,#REF!,53,0),INDEX(VALUES!$B$1:$AO$1,1,$AA130)))</f>
        <v/>
      </c>
    </row>
    <row r="131" spans="1:29" outlineLevel="1" x14ac:dyDescent="0.3">
      <c r="A131" s="22" t="s">
        <v>83</v>
      </c>
      <c r="B131" s="41" t="str">
        <f t="shared" si="7"/>
        <v/>
      </c>
      <c r="C131" s="42">
        <f t="shared" si="8"/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24</v>
      </c>
      <c r="L131" s="14" t="s">
        <v>27</v>
      </c>
      <c r="M131" s="211" t="s">
        <v>582</v>
      </c>
      <c r="N131" s="14" t="s">
        <v>930</v>
      </c>
      <c r="O131" s="43">
        <v>0.1</v>
      </c>
      <c r="R131" s="38" t="s">
        <v>103</v>
      </c>
      <c r="S131" s="38"/>
      <c r="T131" s="38"/>
      <c r="W131" s="15" t="s">
        <v>103</v>
      </c>
      <c r="Z131" s="59" t="str">
        <f>IF(OR($M131="",NOT($O131="{array}")),"",IFERROR(MATCH(PARAMETERS!$M131,DEFAULT!$B$5:$BZ$5,0),""))</f>
        <v/>
      </c>
      <c r="AA131" s="56" t="str">
        <f t="shared" si="6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IF($AA131="","",IF($B131="I",VLOOKUP($AA131,#REF!,53,0),INDEX(VALUES!$B$1:$AO$1,1,$AA131)))</f>
        <v/>
      </c>
    </row>
    <row r="132" spans="1:29" outlineLevel="1" x14ac:dyDescent="0.3">
      <c r="A132" s="22" t="s">
        <v>83</v>
      </c>
      <c r="B132" s="41" t="str">
        <f t="shared" si="7"/>
        <v/>
      </c>
      <c r="C132" s="42">
        <f t="shared" si="8"/>
        <v>131</v>
      </c>
      <c r="D132" s="38"/>
      <c r="E132" s="38"/>
      <c r="F132" s="38"/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11" t="s">
        <v>583</v>
      </c>
      <c r="N132" s="14" t="s">
        <v>931</v>
      </c>
      <c r="O132" s="43">
        <v>0.1</v>
      </c>
      <c r="R132" s="38" t="s">
        <v>103</v>
      </c>
      <c r="S132" s="38"/>
      <c r="T132" s="38"/>
      <c r="W132" s="15" t="s">
        <v>103</v>
      </c>
      <c r="Z132" s="59" t="str">
        <f>IF(OR($M132="",NOT($O132="{array}")),"",IFERROR(MATCH(PARAMETERS!$M132,DEFAULT!$B$5:$BZ$5,0),""))</f>
        <v/>
      </c>
      <c r="AA132" s="56" t="str">
        <f t="shared" si="6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IF($AA132="","",IF($B132="I",VLOOKUP($AA132,#REF!,53,0),INDEX(VALUES!$B$1:$AO$1,1,$AA132)))</f>
        <v/>
      </c>
    </row>
    <row r="133" spans="1:29" outlineLevel="1" x14ac:dyDescent="0.3">
      <c r="A133" s="22" t="s">
        <v>83</v>
      </c>
      <c r="B133" s="41" t="str">
        <f t="shared" si="7"/>
        <v/>
      </c>
      <c r="C133" s="42">
        <f t="shared" si="8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11" t="s">
        <v>584</v>
      </c>
      <c r="N133" s="14" t="s">
        <v>932</v>
      </c>
      <c r="O133" s="43">
        <v>0.1</v>
      </c>
      <c r="R133" s="38" t="s">
        <v>103</v>
      </c>
      <c r="S133" s="38"/>
      <c r="T133" s="38"/>
      <c r="W133" s="15" t="s">
        <v>103</v>
      </c>
      <c r="Z133" s="59" t="str">
        <f>IF(OR($M133="",NOT($O133="{array}")),"",IFERROR(MATCH(PARAMETERS!$M133,DEFAULT!$B$5:$BZ$5,0),""))</f>
        <v/>
      </c>
      <c r="AA133" s="56" t="str">
        <f t="shared" si="6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IF($AA133="","",IF($B133="I",VLOOKUP($AA133,#REF!,53,0),INDEX(VALUES!$B$1:$AO$1,1,$AA133)))</f>
        <v/>
      </c>
    </row>
    <row r="134" spans="1:29" outlineLevel="1" x14ac:dyDescent="0.3">
      <c r="A134" s="22" t="s">
        <v>83</v>
      </c>
      <c r="B134" s="41" t="str">
        <f t="shared" si="7"/>
        <v/>
      </c>
      <c r="C134" s="42">
        <f t="shared" si="8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11" t="s">
        <v>585</v>
      </c>
      <c r="N134" s="14" t="s">
        <v>933</v>
      </c>
      <c r="O134" s="43">
        <v>0.1</v>
      </c>
      <c r="R134" s="38" t="s">
        <v>103</v>
      </c>
      <c r="S134" s="38"/>
      <c r="T134" s="38"/>
      <c r="W134" s="15" t="s">
        <v>103</v>
      </c>
      <c r="Z134" s="59" t="str">
        <f>IF(OR($M134="",NOT($O134="{array}")),"",IFERROR(MATCH(PARAMETERS!$M134,DEFAULT!$B$5:$BZ$5,0),""))</f>
        <v/>
      </c>
      <c r="AA134" s="56" t="str">
        <f t="shared" si="6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IF($AA134="","",IF($B134="I",VLOOKUP($AA134,#REF!,53,0),INDEX(VALUES!$B$1:$AO$1,1,$AA134)))</f>
        <v/>
      </c>
    </row>
    <row r="135" spans="1:29" outlineLevel="1" x14ac:dyDescent="0.3">
      <c r="A135" s="22" t="s">
        <v>83</v>
      </c>
      <c r="B135" s="41" t="str">
        <f t="shared" si="7"/>
        <v/>
      </c>
      <c r="C135" s="42">
        <f t="shared" si="8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11" t="s">
        <v>586</v>
      </c>
      <c r="N135" s="14" t="s">
        <v>587</v>
      </c>
      <c r="O135" s="43">
        <v>0.1</v>
      </c>
      <c r="R135" s="38" t="s">
        <v>103</v>
      </c>
      <c r="S135" s="38"/>
      <c r="T135" s="38"/>
      <c r="W135" s="15" t="s">
        <v>103</v>
      </c>
      <c r="Z135" s="59" t="str">
        <f>IF(OR($M135="",NOT($O135="{array}")),"",IFERROR(MATCH(PARAMETERS!$M135,DEFAULT!$B$5:$BZ$5,0),""))</f>
        <v/>
      </c>
      <c r="AA135" s="56" t="str">
        <f t="shared" si="6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IF($AA135="","",IF($B135="I",VLOOKUP($AA135,#REF!,53,0),INDEX(VALUES!$B$1:$AO$1,1,$AA135)))</f>
        <v/>
      </c>
    </row>
    <row r="136" spans="1:29" outlineLevel="1" x14ac:dyDescent="0.3">
      <c r="A136" s="22" t="s">
        <v>83</v>
      </c>
      <c r="B136" s="41" t="str">
        <f t="shared" si="7"/>
        <v/>
      </c>
      <c r="C136" s="42">
        <f t="shared" si="8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11" t="s">
        <v>588</v>
      </c>
      <c r="N136" s="14" t="s">
        <v>589</v>
      </c>
      <c r="O136" s="43">
        <v>0.1</v>
      </c>
      <c r="R136" s="38" t="s">
        <v>103</v>
      </c>
      <c r="S136" s="38"/>
      <c r="T136" s="38"/>
      <c r="W136" s="15" t="s">
        <v>103</v>
      </c>
      <c r="Z136" s="59" t="str">
        <f>IF(OR($M136="",NOT($O136="{array}")),"",IFERROR(MATCH(PARAMETERS!$M136,DEFAULT!$B$5:$BZ$5,0),""))</f>
        <v/>
      </c>
      <c r="AA136" s="56" t="str">
        <f t="shared" si="6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IF($AA136="","",IF($B136="I",VLOOKUP($AA136,#REF!,53,0),INDEX(VALUES!$B$1:$AO$1,1,$AA136)))</f>
        <v/>
      </c>
    </row>
    <row r="137" spans="1:29" outlineLevel="1" x14ac:dyDescent="0.3">
      <c r="A137" s="22" t="s">
        <v>83</v>
      </c>
      <c r="B137" s="41" t="str">
        <f t="shared" si="7"/>
        <v/>
      </c>
      <c r="C137" s="42">
        <f t="shared" si="8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11" t="s">
        <v>590</v>
      </c>
      <c r="N137" s="14" t="s">
        <v>591</v>
      </c>
      <c r="O137" s="43">
        <v>0.1</v>
      </c>
      <c r="R137" s="38" t="s">
        <v>103</v>
      </c>
      <c r="S137" s="38"/>
      <c r="T137" s="38"/>
      <c r="W137" s="15" t="s">
        <v>103</v>
      </c>
      <c r="Z137" s="59" t="str">
        <f>IF(OR($M137="",NOT($O137="{array}")),"",IFERROR(MATCH(PARAMETERS!$M137,DEFAULT!$B$5:$BZ$5,0),""))</f>
        <v/>
      </c>
      <c r="AA137" s="56" t="str">
        <f t="shared" si="6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IF($AA137="","",IF($B137="I",VLOOKUP($AA137,#REF!,53,0),INDEX(VALUES!$B$1:$AO$1,1,$AA137)))</f>
        <v/>
      </c>
    </row>
    <row r="138" spans="1:29" outlineLevel="1" x14ac:dyDescent="0.3">
      <c r="A138" s="22" t="s">
        <v>83</v>
      </c>
      <c r="B138" s="41" t="str">
        <f t="shared" si="7"/>
        <v/>
      </c>
      <c r="C138" s="42">
        <f t="shared" si="8"/>
        <v>137</v>
      </c>
      <c r="D138" s="38"/>
      <c r="E138" s="38"/>
      <c r="F138" s="38" t="s">
        <v>9</v>
      </c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11" t="s">
        <v>592</v>
      </c>
      <c r="N138" s="14" t="s">
        <v>593</v>
      </c>
      <c r="O138" s="43">
        <v>7.0000000000000007E-2</v>
      </c>
      <c r="R138" s="38" t="s">
        <v>103</v>
      </c>
      <c r="S138" s="38"/>
      <c r="T138" s="38"/>
      <c r="W138" s="15" t="s">
        <v>103</v>
      </c>
      <c r="Z138" s="59" t="str">
        <f>IF(OR($M138="",NOT($O138="{array}")),"",IFERROR(MATCH(PARAMETERS!$M138,DEFAULT!$B$5:$BZ$5,0),""))</f>
        <v/>
      </c>
      <c r="AA138" s="56" t="str">
        <f t="shared" si="6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IF($AA138="","",IF($B138="I",VLOOKUP($AA138,#REF!,53,0),INDEX(VALUES!$B$1:$AO$1,1,$AA138)))</f>
        <v/>
      </c>
    </row>
    <row r="139" spans="1:29" outlineLevel="1" x14ac:dyDescent="0.3">
      <c r="A139" s="22"/>
      <c r="B139" s="41"/>
      <c r="C139" s="42"/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11" t="s">
        <v>783</v>
      </c>
      <c r="N139" s="14" t="s">
        <v>881</v>
      </c>
      <c r="O139" s="43">
        <v>0.02</v>
      </c>
      <c r="R139" s="38" t="s">
        <v>102</v>
      </c>
      <c r="S139" s="38"/>
      <c r="T139" s="38"/>
      <c r="W139" s="15"/>
      <c r="Z139" s="59" t="str">
        <f>IF(OR($M139="",NOT($O139="{array}")),"",IFERROR(MATCH(PARAMETERS!$M139,DEFAULT!$B$5:$BZ$5,0),""))</f>
        <v/>
      </c>
      <c r="AA139" s="56" t="str">
        <f t="shared" si="6"/>
        <v/>
      </c>
      <c r="AC139" s="17"/>
    </row>
    <row r="140" spans="1:29" outlineLevel="1" x14ac:dyDescent="0.25">
      <c r="A140" s="22" t="s">
        <v>83</v>
      </c>
      <c r="B140" s="41" t="str">
        <f t="shared" ref="B140:B145" si="9">IF($A140="P",IF(NOT($Z140=""),"A",IF(NOT($AA140=""),"I","")),IF(NOT($AA140=""),IF($A140="G","V","X"),IF(NOT($Z140=""),"A","")))</f>
        <v/>
      </c>
      <c r="C140" s="42">
        <f t="shared" si="8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47</v>
      </c>
      <c r="L140" s="14" t="s">
        <v>27</v>
      </c>
      <c r="M140" s="181" t="s">
        <v>882</v>
      </c>
      <c r="N140" s="53" t="s">
        <v>883</v>
      </c>
      <c r="O140" s="149">
        <v>1</v>
      </c>
      <c r="P140" s="53"/>
      <c r="Q140" s="197" t="s">
        <v>9</v>
      </c>
      <c r="R140" s="38" t="s">
        <v>197</v>
      </c>
      <c r="S140" s="201" t="s">
        <v>111</v>
      </c>
      <c r="T140" s="168" t="s">
        <v>309</v>
      </c>
      <c r="U140" s="168"/>
      <c r="V140" s="168"/>
      <c r="W140" s="202"/>
      <c r="X140" s="200"/>
      <c r="Y140" s="168"/>
      <c r="Z140" s="59" t="str">
        <f>IF(OR($M140="",NOT($O140="{array}")),"",IFERROR(MATCH(PARAMETERS!$M140,DEFAULT!$B$5:$BZ$5,0),""))</f>
        <v/>
      </c>
      <c r="AA140" s="56" t="str">
        <f t="shared" si="6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IF($AA140="","",IF($B140="I",VLOOKUP($AA140,#REF!,53,0),INDEX(VALUES!$B$1:$AO$1,1,$AA140)))</f>
        <v/>
      </c>
    </row>
    <row r="141" spans="1:29" outlineLevel="1" x14ac:dyDescent="0.25">
      <c r="A141" s="22" t="s">
        <v>83</v>
      </c>
      <c r="B141" s="41" t="str">
        <f t="shared" si="9"/>
        <v/>
      </c>
      <c r="C141" s="42">
        <f t="shared" si="8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181" t="s">
        <v>884</v>
      </c>
      <c r="N141" s="53" t="s">
        <v>885</v>
      </c>
      <c r="O141" s="149">
        <v>7.0000000000000007E-2</v>
      </c>
      <c r="P141" s="53"/>
      <c r="Q141" s="197" t="s">
        <v>9</v>
      </c>
      <c r="R141" s="38" t="s">
        <v>197</v>
      </c>
      <c r="S141" s="201" t="s">
        <v>111</v>
      </c>
      <c r="T141" s="168" t="s">
        <v>309</v>
      </c>
      <c r="U141" s="168"/>
      <c r="V141" s="168"/>
      <c r="W141" s="202"/>
      <c r="X141" s="200"/>
      <c r="Y141" s="168"/>
      <c r="Z141" s="59" t="str">
        <f>IF(OR($M141="",NOT($O141="{array}")),"",IFERROR(MATCH(PARAMETERS!$M141,DEFAULT!$B$5:$BZ$5,0),""))</f>
        <v/>
      </c>
      <c r="AA141" s="56" t="str">
        <f t="shared" si="6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IF($AA141="","",IF($B141="I",VLOOKUP($AA141,#REF!,53,0),INDEX(VALUES!$B$1:$AO$1,1,$AA141)))</f>
        <v/>
      </c>
    </row>
    <row r="142" spans="1:29" outlineLevel="1" x14ac:dyDescent="0.25">
      <c r="A142" s="22" t="s">
        <v>83</v>
      </c>
      <c r="B142" s="41" t="str">
        <f t="shared" si="9"/>
        <v/>
      </c>
      <c r="C142" s="42">
        <f t="shared" si="8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181" t="s">
        <v>886</v>
      </c>
      <c r="N142" s="53" t="s">
        <v>887</v>
      </c>
      <c r="O142" s="149">
        <v>0.1</v>
      </c>
      <c r="P142" s="53"/>
      <c r="Q142" s="197" t="s">
        <v>9</v>
      </c>
      <c r="R142" s="38" t="s">
        <v>197</v>
      </c>
      <c r="S142" s="201" t="s">
        <v>111</v>
      </c>
      <c r="T142" s="168" t="s">
        <v>309</v>
      </c>
      <c r="U142" s="168"/>
      <c r="V142" s="168"/>
      <c r="W142" s="202"/>
      <c r="X142" s="200"/>
      <c r="Y142" s="168"/>
      <c r="Z142" s="59" t="str">
        <f>IF(OR($M142="",NOT($O142="{array}")),"",IFERROR(MATCH(PARAMETERS!$M142,DEFAULT!$B$5:$BZ$5,0),""))</f>
        <v/>
      </c>
      <c r="AA142" s="56" t="str">
        <f t="shared" si="6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IF($AA142="","",IF($B142="I",VLOOKUP($AA142,#REF!,53,0),INDEX(VALUES!$B$1:$AO$1,1,$AA142)))</f>
        <v/>
      </c>
    </row>
    <row r="143" spans="1:29" outlineLevel="1" x14ac:dyDescent="0.25">
      <c r="A143" s="22" t="s">
        <v>83</v>
      </c>
      <c r="B143" s="41" t="str">
        <f t="shared" si="9"/>
        <v/>
      </c>
      <c r="C143" s="42">
        <f t="shared" si="8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181" t="s">
        <v>888</v>
      </c>
      <c r="N143" s="53" t="s">
        <v>889</v>
      </c>
      <c r="O143" s="149">
        <v>0.1</v>
      </c>
      <c r="P143" s="53"/>
      <c r="Q143" s="197" t="s">
        <v>9</v>
      </c>
      <c r="R143" s="38" t="s">
        <v>197</v>
      </c>
      <c r="S143" s="201" t="s">
        <v>111</v>
      </c>
      <c r="T143" s="168" t="s">
        <v>309</v>
      </c>
      <c r="U143" s="168"/>
      <c r="V143" s="168"/>
      <c r="W143" s="202"/>
      <c r="X143" s="200"/>
      <c r="Y143" s="168"/>
      <c r="Z143" s="59" t="str">
        <f>IF(OR($M143="",NOT($O143="{array}")),"",IFERROR(MATCH(PARAMETERS!$M143,DEFAULT!$B$5:$BZ$5,0),""))</f>
        <v/>
      </c>
      <c r="AA143" s="56" t="str">
        <f t="shared" si="6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IF($AA143="","",IF($B143="I",VLOOKUP($AA143,#REF!,53,0),INDEX(VALUES!$B$1:$AO$1,1,$AA143)))</f>
        <v/>
      </c>
    </row>
    <row r="144" spans="1:29" outlineLevel="1" x14ac:dyDescent="0.25">
      <c r="A144" s="22" t="s">
        <v>83</v>
      </c>
      <c r="B144" s="41" t="str">
        <f t="shared" si="9"/>
        <v/>
      </c>
      <c r="C144" s="42">
        <f t="shared" si="8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181" t="s">
        <v>890</v>
      </c>
      <c r="N144" s="53" t="s">
        <v>891</v>
      </c>
      <c r="O144" s="149">
        <v>0.1</v>
      </c>
      <c r="P144" s="53"/>
      <c r="Q144" s="197" t="s">
        <v>9</v>
      </c>
      <c r="R144" s="38" t="s">
        <v>197</v>
      </c>
      <c r="S144" s="201" t="s">
        <v>111</v>
      </c>
      <c r="T144" s="168" t="s">
        <v>309</v>
      </c>
      <c r="U144" s="168"/>
      <c r="V144" s="168"/>
      <c r="W144" s="202"/>
      <c r="X144" s="200"/>
      <c r="Y144" s="168"/>
      <c r="Z144" s="59" t="str">
        <f>IF(OR($M144="",NOT($O144="{array}")),"",IFERROR(MATCH(PARAMETERS!$M144,DEFAULT!$B$5:$BZ$5,0),""))</f>
        <v/>
      </c>
      <c r="AA144" s="56" t="str">
        <f t="shared" si="6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IF($AA144="","",IF($B144="I",VLOOKUP($AA144,#REF!,53,0),INDEX(VALUES!$B$1:$AO$1,1,$AA144)))</f>
        <v/>
      </c>
    </row>
    <row r="145" spans="1:29" outlineLevel="1" x14ac:dyDescent="0.25">
      <c r="A145" s="22" t="s">
        <v>83</v>
      </c>
      <c r="B145" s="41" t="str">
        <f t="shared" si="9"/>
        <v/>
      </c>
      <c r="C145" s="42">
        <f t="shared" si="8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181" t="s">
        <v>943</v>
      </c>
      <c r="N145" s="53" t="s">
        <v>892</v>
      </c>
      <c r="O145" s="149">
        <v>0.12</v>
      </c>
      <c r="P145" s="53"/>
      <c r="Q145" s="197" t="s">
        <v>9</v>
      </c>
      <c r="R145" s="38" t="s">
        <v>197</v>
      </c>
      <c r="S145" s="201" t="s">
        <v>111</v>
      </c>
      <c r="T145" s="168" t="s">
        <v>309</v>
      </c>
      <c r="U145" s="168"/>
      <c r="V145" s="168"/>
      <c r="W145" s="202"/>
      <c r="X145" s="200"/>
      <c r="Y145" s="168"/>
      <c r="Z145" s="59" t="str">
        <f>IF(OR($M145="",NOT($O145="{array}")),"",IFERROR(MATCH(PARAMETERS!$M145,DEFAULT!$B$5:$BZ$5,0),""))</f>
        <v/>
      </c>
      <c r="AA145" s="56" t="str">
        <f t="shared" si="6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IF($AA145="","",IF($B145="I",VLOOKUP($AA145,#REF!,53,0),INDEX(VALUES!$B$1:$AO$1,1,$AA145)))</f>
        <v/>
      </c>
    </row>
    <row r="146" spans="1:29" outlineLevel="1" x14ac:dyDescent="0.25">
      <c r="A146" s="22" t="s">
        <v>83</v>
      </c>
      <c r="B146" s="41" t="str">
        <f t="shared" si="7"/>
        <v/>
      </c>
      <c r="C146" s="42">
        <f t="shared" si="8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181" t="s">
        <v>914</v>
      </c>
      <c r="N146" s="167" t="s">
        <v>594</v>
      </c>
      <c r="O146" s="160">
        <v>3.5000000000000003E-2</v>
      </c>
      <c r="P146" s="161"/>
      <c r="Q146" s="172" t="s">
        <v>9</v>
      </c>
      <c r="R146" s="172" t="s">
        <v>102</v>
      </c>
      <c r="S146" s="172" t="s">
        <v>111</v>
      </c>
      <c r="T146" s="167" t="s">
        <v>309</v>
      </c>
      <c r="U146" s="167" t="s">
        <v>309</v>
      </c>
      <c r="V146" s="167" t="s">
        <v>594</v>
      </c>
      <c r="W146" s="15" t="s">
        <v>309</v>
      </c>
      <c r="X146" s="161">
        <v>53</v>
      </c>
      <c r="Y146" s="167" t="s">
        <v>595</v>
      </c>
      <c r="Z146" s="59" t="str">
        <f>IF(OR($M146="",NOT($O146="{array}")),"",IFERROR(MATCH(PARAMETERS!$M146,DEFAULT!$B$5:$BZ$5,0),""))</f>
        <v/>
      </c>
      <c r="AA146" s="56" t="str">
        <f t="shared" si="6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IF($AA146="","",IF($B146="I",VLOOKUP($AA146,#REF!,53,0),INDEX(VALUES!$B$1:$AO$1,1,$AA146)))</f>
        <v/>
      </c>
    </row>
    <row r="147" spans="1:29" outlineLevel="1" x14ac:dyDescent="0.25">
      <c r="A147" s="22" t="s">
        <v>83</v>
      </c>
      <c r="B147" s="41" t="str">
        <f t="shared" si="7"/>
        <v/>
      </c>
      <c r="C147" s="42">
        <f t="shared" si="8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181" t="s">
        <v>915</v>
      </c>
      <c r="N147" s="160" t="s">
        <v>596</v>
      </c>
      <c r="O147" s="160">
        <v>3.5000000000000003E-2</v>
      </c>
      <c r="P147" s="176"/>
      <c r="Q147" s="177" t="s">
        <v>9</v>
      </c>
      <c r="R147" s="177" t="s">
        <v>102</v>
      </c>
      <c r="S147" s="177" t="s">
        <v>111</v>
      </c>
      <c r="T147" s="160" t="s">
        <v>309</v>
      </c>
      <c r="U147" s="160" t="s">
        <v>309</v>
      </c>
      <c r="V147" s="160" t="s">
        <v>596</v>
      </c>
      <c r="W147" s="15" t="s">
        <v>309</v>
      </c>
      <c r="X147" s="176">
        <v>53</v>
      </c>
      <c r="Y147" s="160" t="s">
        <v>595</v>
      </c>
      <c r="Z147" s="59" t="str">
        <f>IF(OR($M147="",NOT($O147="{array}")),"",IFERROR(MATCH(PARAMETERS!$M147,DEFAULT!$B$5:$BZ$5,0),""))</f>
        <v/>
      </c>
      <c r="AA147" s="56" t="str">
        <f t="shared" si="6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IF($AA147="","",IF($B147="I",VLOOKUP($AA147,#REF!,53,0),INDEX(VALUES!$B$1:$AO$1,1,$AA147)))</f>
        <v/>
      </c>
    </row>
    <row r="148" spans="1:29" outlineLevel="1" x14ac:dyDescent="0.25">
      <c r="A148" s="22" t="s">
        <v>83</v>
      </c>
      <c r="B148" s="41" t="str">
        <f t="shared" si="7"/>
        <v/>
      </c>
      <c r="C148" s="42">
        <f t="shared" si="8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181" t="s">
        <v>916</v>
      </c>
      <c r="N148" s="160" t="s">
        <v>597</v>
      </c>
      <c r="O148" s="160">
        <v>3.5000000000000003E-2</v>
      </c>
      <c r="P148" s="176"/>
      <c r="Q148" s="177" t="s">
        <v>9</v>
      </c>
      <c r="R148" s="177" t="s">
        <v>102</v>
      </c>
      <c r="S148" s="177" t="s">
        <v>111</v>
      </c>
      <c r="T148" s="160" t="s">
        <v>309</v>
      </c>
      <c r="U148" s="160" t="s">
        <v>309</v>
      </c>
      <c r="V148" s="160" t="s">
        <v>597</v>
      </c>
      <c r="W148" s="15" t="s">
        <v>309</v>
      </c>
      <c r="X148" s="176">
        <v>53</v>
      </c>
      <c r="Y148" s="160" t="s">
        <v>595</v>
      </c>
      <c r="Z148" s="59" t="str">
        <f>IF(OR($M148="",NOT($O148="{array}")),"",IFERROR(MATCH(PARAMETERS!$M148,DEFAULT!$B$5:$BZ$5,0),""))</f>
        <v/>
      </c>
      <c r="AA148" s="56" t="str">
        <f t="shared" si="6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IF($AA148="","",IF($B148="I",VLOOKUP($AA148,#REF!,53,0),INDEX(VALUES!$B$1:$AO$1,1,$AA148)))</f>
        <v/>
      </c>
    </row>
    <row r="149" spans="1:29" outlineLevel="1" x14ac:dyDescent="0.25">
      <c r="A149" s="22" t="s">
        <v>83</v>
      </c>
      <c r="B149" s="41" t="str">
        <f t="shared" si="7"/>
        <v/>
      </c>
      <c r="C149" s="42">
        <f t="shared" si="8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181" t="s">
        <v>919</v>
      </c>
      <c r="N149" s="160" t="s">
        <v>598</v>
      </c>
      <c r="O149" s="160">
        <v>3.5000000000000003E-2</v>
      </c>
      <c r="P149" s="176"/>
      <c r="Q149" s="177" t="s">
        <v>9</v>
      </c>
      <c r="R149" s="177" t="s">
        <v>102</v>
      </c>
      <c r="S149" s="177" t="s">
        <v>111</v>
      </c>
      <c r="T149" s="160" t="s">
        <v>309</v>
      </c>
      <c r="U149" s="160" t="s">
        <v>309</v>
      </c>
      <c r="V149" s="160" t="s">
        <v>598</v>
      </c>
      <c r="W149" s="15" t="s">
        <v>309</v>
      </c>
      <c r="X149" s="176">
        <v>53</v>
      </c>
      <c r="Y149" s="160" t="s">
        <v>595</v>
      </c>
      <c r="Z149" s="59" t="str">
        <f>IF(OR($M149="",NOT($O149="{array}")),"",IFERROR(MATCH(PARAMETERS!$M149,DEFAULT!$B$5:$BZ$5,0),""))</f>
        <v/>
      </c>
      <c r="AA149" s="56" t="str">
        <f t="shared" si="6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IF($AA149="","",IF($B149="I",VLOOKUP($AA149,#REF!,53,0),INDEX(VALUES!$B$1:$AO$1,1,$AA149)))</f>
        <v/>
      </c>
    </row>
    <row r="150" spans="1:29" outlineLevel="1" x14ac:dyDescent="0.3">
      <c r="A150" s="22" t="s">
        <v>83</v>
      </c>
      <c r="B150" s="41" t="str">
        <f t="shared" si="7"/>
        <v/>
      </c>
      <c r="C150" s="42">
        <f t="shared" si="8"/>
        <v>149</v>
      </c>
      <c r="D150" s="38"/>
      <c r="E150" s="38"/>
      <c r="F150" s="38"/>
      <c r="G150" s="38"/>
      <c r="H150" s="38"/>
      <c r="I150" s="38" t="s">
        <v>9</v>
      </c>
      <c r="J150" s="38"/>
      <c r="K150" s="167" t="s">
        <v>24</v>
      </c>
      <c r="L150" s="14" t="s">
        <v>27</v>
      </c>
      <c r="M150" s="212" t="s">
        <v>1004</v>
      </c>
      <c r="N150" s="167" t="s">
        <v>1005</v>
      </c>
      <c r="O150" s="167">
        <v>0.115</v>
      </c>
      <c r="P150" s="161"/>
      <c r="Q150" s="171" t="s">
        <v>9</v>
      </c>
      <c r="R150" s="172" t="s">
        <v>102</v>
      </c>
      <c r="S150" s="172" t="s">
        <v>111</v>
      </c>
      <c r="T150" s="167" t="s">
        <v>309</v>
      </c>
      <c r="U150" s="167" t="s">
        <v>309</v>
      </c>
      <c r="V150" s="167" t="s">
        <v>599</v>
      </c>
      <c r="W150" s="15"/>
      <c r="X150" s="15" t="s">
        <v>1172</v>
      </c>
      <c r="Y150" s="167" t="s">
        <v>600</v>
      </c>
      <c r="Z150" s="59" t="str">
        <f>IF(OR($M150="",NOT($O150="{array}")),"",IFERROR(MATCH(PARAMETERS!$M150,DEFAULT!$B$5:$BZ$5,0),""))</f>
        <v/>
      </c>
      <c r="AA150" s="56" t="str">
        <f t="shared" si="6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IF($AA150="","",IF($B150="I",VLOOKUP($AA150,#REF!,53,0),INDEX(VALUES!$B$1:$AO$1,1,$AA150)))</f>
        <v/>
      </c>
    </row>
    <row r="151" spans="1:29" outlineLevel="1" x14ac:dyDescent="0.3">
      <c r="A151" s="22"/>
      <c r="B151" s="41" t="str">
        <f t="shared" si="7"/>
        <v/>
      </c>
      <c r="C151" s="42">
        <f t="shared" si="8"/>
        <v>150</v>
      </c>
      <c r="D151" s="38"/>
      <c r="E151" s="38"/>
      <c r="F151" s="38"/>
      <c r="G151" s="38"/>
      <c r="H151" s="38"/>
      <c r="I151" s="38" t="s">
        <v>9</v>
      </c>
      <c r="J151" s="38"/>
      <c r="K151" s="167" t="s">
        <v>44</v>
      </c>
      <c r="L151" s="14" t="s">
        <v>27</v>
      </c>
      <c r="M151" s="212" t="s">
        <v>601</v>
      </c>
      <c r="N151" s="167" t="s">
        <v>309</v>
      </c>
      <c r="O151" s="167" t="s">
        <v>309</v>
      </c>
      <c r="P151" s="161" t="s">
        <v>123</v>
      </c>
      <c r="Q151" s="172" t="s">
        <v>9</v>
      </c>
      <c r="R151" s="172" t="s">
        <v>102</v>
      </c>
      <c r="S151" s="172" t="s">
        <v>111</v>
      </c>
      <c r="T151" s="167" t="s">
        <v>309</v>
      </c>
      <c r="U151" s="167" t="s">
        <v>309</v>
      </c>
      <c r="V151" s="167" t="s">
        <v>601</v>
      </c>
      <c r="W151" s="15" t="s">
        <v>309</v>
      </c>
      <c r="X151" s="161">
        <v>52</v>
      </c>
      <c r="Y151" s="167" t="s">
        <v>602</v>
      </c>
      <c r="Z151" s="59" t="str">
        <f>IF(OR($M151="",NOT($O151="{array}")),"",IFERROR(MATCH(PARAMETERS!$M151,DEFAULT!$B$5:$BZ$5,0),""))</f>
        <v/>
      </c>
      <c r="AA151" s="56" t="str">
        <f t="shared" si="6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IF($AA151="","",IF($B151="I",VLOOKUP($AA151,#REF!,53,0),INDEX(VALUES!$B$1:$AO$1,1,$AA151)))</f>
        <v/>
      </c>
    </row>
    <row r="152" spans="1:29" outlineLevel="1" x14ac:dyDescent="0.3">
      <c r="A152" s="22"/>
      <c r="B152" s="41" t="str">
        <f t="shared" si="7"/>
        <v/>
      </c>
      <c r="C152" s="42">
        <f t="shared" si="8"/>
        <v>151</v>
      </c>
      <c r="D152" s="38"/>
      <c r="E152" s="38"/>
      <c r="F152" s="38"/>
      <c r="G152" s="38"/>
      <c r="H152" s="38"/>
      <c r="I152" s="38" t="s">
        <v>9</v>
      </c>
      <c r="J152" s="38"/>
      <c r="K152" s="167" t="s">
        <v>44</v>
      </c>
      <c r="L152" s="14" t="s">
        <v>27</v>
      </c>
      <c r="M152" s="212" t="s">
        <v>603</v>
      </c>
      <c r="N152" s="167" t="s">
        <v>309</v>
      </c>
      <c r="O152" s="167" t="s">
        <v>309</v>
      </c>
      <c r="P152" s="161" t="s">
        <v>123</v>
      </c>
      <c r="Q152" s="172" t="s">
        <v>9</v>
      </c>
      <c r="R152" s="172" t="s">
        <v>102</v>
      </c>
      <c r="S152" s="172" t="s">
        <v>111</v>
      </c>
      <c r="T152" s="167" t="s">
        <v>309</v>
      </c>
      <c r="U152" s="167" t="s">
        <v>309</v>
      </c>
      <c r="V152" s="167" t="s">
        <v>603</v>
      </c>
      <c r="W152" s="15" t="s">
        <v>309</v>
      </c>
      <c r="X152" s="161" t="s">
        <v>309</v>
      </c>
      <c r="Y152" s="167" t="s">
        <v>604</v>
      </c>
      <c r="Z152" s="59" t="str">
        <f>IF(OR($M152="",NOT($O152="{array}")),"",IFERROR(MATCH(PARAMETERS!$M152,DEFAULT!$B$5:$BZ$5,0),""))</f>
        <v/>
      </c>
      <c r="AA152" s="56" t="str">
        <f t="shared" si="6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IF($AA152="","",IF($B152="I",VLOOKUP($AA152,#REF!,53,0),INDEX(VALUES!$B$1:$AO$1,1,$AA152)))</f>
        <v/>
      </c>
    </row>
    <row r="153" spans="1:29" outlineLevel="1" x14ac:dyDescent="0.3">
      <c r="A153" s="22"/>
      <c r="B153" s="41" t="str">
        <f t="shared" si="7"/>
        <v/>
      </c>
      <c r="C153" s="42">
        <f t="shared" si="8"/>
        <v>152</v>
      </c>
      <c r="D153" s="38"/>
      <c r="E153" s="38"/>
      <c r="F153" s="38"/>
      <c r="G153" s="38"/>
      <c r="H153" s="38"/>
      <c r="I153" s="38" t="s">
        <v>9</v>
      </c>
      <c r="J153" s="38"/>
      <c r="K153" s="167" t="s">
        <v>44</v>
      </c>
      <c r="L153" s="14" t="s">
        <v>27</v>
      </c>
      <c r="M153" s="212" t="s">
        <v>605</v>
      </c>
      <c r="N153" s="167" t="s">
        <v>309</v>
      </c>
      <c r="O153" s="167" t="s">
        <v>309</v>
      </c>
      <c r="P153" s="161" t="s">
        <v>123</v>
      </c>
      <c r="Q153" s="172" t="s">
        <v>9</v>
      </c>
      <c r="R153" s="172" t="s">
        <v>102</v>
      </c>
      <c r="S153" s="172" t="s">
        <v>111</v>
      </c>
      <c r="T153" s="167" t="s">
        <v>309</v>
      </c>
      <c r="U153" s="167" t="s">
        <v>309</v>
      </c>
      <c r="V153" s="167" t="s">
        <v>605</v>
      </c>
      <c r="W153" s="15" t="s">
        <v>309</v>
      </c>
      <c r="X153" s="161">
        <v>54</v>
      </c>
      <c r="Y153" s="167" t="s">
        <v>606</v>
      </c>
      <c r="Z153" s="59" t="str">
        <f>IF(OR($M153="",NOT($O153="{array}")),"",IFERROR(MATCH(PARAMETERS!$M153,DEFAULT!$B$5:$BZ$5,0),""))</f>
        <v/>
      </c>
      <c r="AA153" s="56" t="str">
        <f t="shared" si="6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IF($AA153="","",IF($B153="I",VLOOKUP($AA153,#REF!,53,0),INDEX(VALUES!$B$1:$AO$1,1,$AA153)))</f>
        <v/>
      </c>
    </row>
    <row r="154" spans="1:29" outlineLevel="1" x14ac:dyDescent="0.3">
      <c r="A154" s="22" t="s">
        <v>83</v>
      </c>
      <c r="B154" s="41" t="str">
        <f t="shared" si="7"/>
        <v>V</v>
      </c>
      <c r="C154" s="42">
        <f t="shared" si="8"/>
        <v>153</v>
      </c>
      <c r="D154" s="38"/>
      <c r="E154" s="38"/>
      <c r="F154" s="38"/>
      <c r="G154" s="38"/>
      <c r="H154" s="38"/>
      <c r="I154" s="38" t="s">
        <v>9</v>
      </c>
      <c r="J154" s="38"/>
      <c r="K154" s="167" t="s">
        <v>44</v>
      </c>
      <c r="L154" s="14" t="s">
        <v>27</v>
      </c>
      <c r="M154" s="203" t="s">
        <v>607</v>
      </c>
      <c r="N154" s="167" t="s">
        <v>872</v>
      </c>
      <c r="O154" s="167">
        <v>1</v>
      </c>
      <c r="P154" s="161" t="s">
        <v>309</v>
      </c>
      <c r="Q154" s="172"/>
      <c r="R154" s="172" t="s">
        <v>102</v>
      </c>
      <c r="S154" s="172" t="s">
        <v>111</v>
      </c>
      <c r="T154" s="167" t="s">
        <v>309</v>
      </c>
      <c r="U154" s="167" t="s">
        <v>309</v>
      </c>
      <c r="V154" s="167" t="s">
        <v>608</v>
      </c>
      <c r="W154" s="15" t="s">
        <v>309</v>
      </c>
      <c r="X154" s="161">
        <v>50</v>
      </c>
      <c r="Y154" s="167" t="s">
        <v>609</v>
      </c>
      <c r="Z154" s="59" t="str">
        <f>IF(OR($M154="",NOT($O154="{array}")),"",IFERROR(MATCH(PARAMETERS!$M154,DEFAULT!$B$5:$BZ$5,0),""))</f>
        <v/>
      </c>
      <c r="AA154" s="56">
        <f t="shared" si="6"/>
        <v>10</v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IF($AA154="","",IF($B154="I",VLOOKUP($AA154,#REF!,53,0),INDEX(VALUES!$B$1:$AO$1,1,$AA154)))</f>
        <v>0 | 1 | 2 | 3</v>
      </c>
    </row>
    <row r="155" spans="1:29" outlineLevel="1" x14ac:dyDescent="0.3">
      <c r="A155" s="22" t="s">
        <v>83</v>
      </c>
      <c r="B155" s="41" t="str">
        <f t="shared" si="7"/>
        <v>V</v>
      </c>
      <c r="C155" s="42">
        <f t="shared" si="8"/>
        <v>154</v>
      </c>
      <c r="D155" s="38"/>
      <c r="E155" s="38"/>
      <c r="F155" s="38" t="s">
        <v>9</v>
      </c>
      <c r="G155" s="38"/>
      <c r="H155" s="38"/>
      <c r="I155" s="38" t="s">
        <v>9</v>
      </c>
      <c r="J155" s="38"/>
      <c r="K155" s="14" t="s">
        <v>24</v>
      </c>
      <c r="L155" s="14" t="s">
        <v>27</v>
      </c>
      <c r="M155" s="211" t="s">
        <v>610</v>
      </c>
      <c r="N155" s="14" t="s">
        <v>611</v>
      </c>
      <c r="O155" s="43">
        <v>1.4999999999999999E-2</v>
      </c>
      <c r="Q155" s="38" t="s">
        <v>9</v>
      </c>
      <c r="R155" s="38" t="s">
        <v>103</v>
      </c>
      <c r="S155" s="38"/>
      <c r="T155" s="38"/>
      <c r="W155" s="15" t="s">
        <v>103</v>
      </c>
      <c r="Y155" s="53" t="s">
        <v>612</v>
      </c>
      <c r="Z155" s="59" t="str">
        <f>IF(OR($M155="",NOT($O155="{array}")),"",IFERROR(MATCH(PARAMETERS!$M155,DEFAULT!$B$5:$BZ$5,0),""))</f>
        <v/>
      </c>
      <c r="AA155" s="56">
        <f t="shared" si="6"/>
        <v>8</v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IF($AA155="","",IF($B155="I",VLOOKUP($AA155,#REF!,53,0),INDEX(VALUES!$B$1:$AO$1,1,$AA155)))</f>
        <v>0,005 | 0,01 | 0,015</v>
      </c>
    </row>
    <row r="156" spans="1:29" outlineLevel="1" x14ac:dyDescent="0.3">
      <c r="A156" s="22" t="s">
        <v>83</v>
      </c>
      <c r="B156" s="41" t="str">
        <f t="shared" si="7"/>
        <v>V</v>
      </c>
      <c r="C156" s="42">
        <f t="shared" si="8"/>
        <v>155</v>
      </c>
      <c r="D156" s="38"/>
      <c r="E156" s="38"/>
      <c r="F156" s="38" t="s">
        <v>9</v>
      </c>
      <c r="G156" s="38"/>
      <c r="H156" s="38"/>
      <c r="I156" s="38" t="s">
        <v>9</v>
      </c>
      <c r="J156" s="38"/>
      <c r="K156" s="14" t="s">
        <v>24</v>
      </c>
      <c r="L156" s="14" t="s">
        <v>27</v>
      </c>
      <c r="M156" s="211" t="s">
        <v>613</v>
      </c>
      <c r="N156" s="14" t="s">
        <v>614</v>
      </c>
      <c r="O156" s="43">
        <v>0.02</v>
      </c>
      <c r="Q156" s="38" t="s">
        <v>9</v>
      </c>
      <c r="R156" s="38" t="s">
        <v>103</v>
      </c>
      <c r="S156" s="38"/>
      <c r="T156" s="38"/>
      <c r="W156" s="15" t="s">
        <v>103</v>
      </c>
      <c r="Y156" s="53" t="s">
        <v>612</v>
      </c>
      <c r="Z156" s="59" t="str">
        <f>IF(OR($M156="",NOT($O156="{array}")),"",IFERROR(MATCH(PARAMETERS!$M156,DEFAULT!$B$5:$BZ$5,0),""))</f>
        <v/>
      </c>
      <c r="AA156" s="56">
        <f t="shared" si="6"/>
        <v>9</v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IF($AA156="","",IF($B156="I",VLOOKUP($AA156,#REF!,53,0),INDEX(VALUES!$B$1:$AO$1,1,$AA156)))</f>
        <v>0,01 | 0,015 | 0,02 | 0,025</v>
      </c>
    </row>
    <row r="157" spans="1:29" outlineLevel="1" x14ac:dyDescent="0.25">
      <c r="A157" s="22" t="s">
        <v>83</v>
      </c>
      <c r="B157" s="41" t="str">
        <f t="shared" si="7"/>
        <v/>
      </c>
      <c r="C157" s="42">
        <f t="shared" si="8"/>
        <v>156</v>
      </c>
      <c r="D157" s="38"/>
      <c r="E157" s="38"/>
      <c r="F157" s="38"/>
      <c r="G157" s="38"/>
      <c r="H157" s="38"/>
      <c r="I157" s="38" t="s">
        <v>9</v>
      </c>
      <c r="J157" s="38"/>
      <c r="K157" s="14" t="s">
        <v>24</v>
      </c>
      <c r="L157" s="14" t="s">
        <v>27</v>
      </c>
      <c r="M157" s="181" t="s">
        <v>917</v>
      </c>
      <c r="N157" s="53" t="s">
        <v>918</v>
      </c>
      <c r="O157" s="149">
        <v>0</v>
      </c>
      <c r="P157" s="53"/>
      <c r="Q157" s="197" t="s">
        <v>9</v>
      </c>
      <c r="R157" s="38" t="s">
        <v>197</v>
      </c>
      <c r="S157" s="201"/>
      <c r="T157" s="168" t="s">
        <v>309</v>
      </c>
      <c r="U157" s="168"/>
      <c r="V157" s="168"/>
      <c r="W157" s="202"/>
      <c r="X157" s="200"/>
      <c r="Y157" s="168"/>
      <c r="Z157" s="59" t="str">
        <f>IF(OR($M157="",NOT($O157="{array}")),"",IFERROR(MATCH(PARAMETERS!$M157,DEFAULT!$B$5:$BZ$5,0),""))</f>
        <v/>
      </c>
      <c r="AA157" s="56" t="str">
        <f t="shared" si="6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IF($AA157="","",IF($B157="I",VLOOKUP($AA157,#REF!,53,0),INDEX(VALUES!$B$1:$AO$1,1,$AA157)))</f>
        <v/>
      </c>
    </row>
    <row r="158" spans="1:29" outlineLevel="1" x14ac:dyDescent="0.3">
      <c r="A158" s="22" t="s">
        <v>83</v>
      </c>
      <c r="B158" s="41" t="str">
        <f t="shared" si="7"/>
        <v>A</v>
      </c>
      <c r="C158" s="42">
        <f t="shared" si="8"/>
        <v>157</v>
      </c>
      <c r="D158" s="38"/>
      <c r="E158" s="38"/>
      <c r="F158" s="38"/>
      <c r="G158" s="38"/>
      <c r="H158" s="38"/>
      <c r="I158" s="38" t="s">
        <v>9</v>
      </c>
      <c r="J158" s="38"/>
      <c r="K158" s="160" t="s">
        <v>24</v>
      </c>
      <c r="L158" s="14" t="s">
        <v>27</v>
      </c>
      <c r="M158" s="203" t="s">
        <v>615</v>
      </c>
      <c r="N158" s="160" t="s">
        <v>616</v>
      </c>
      <c r="O158" s="160" t="s">
        <v>33</v>
      </c>
      <c r="P158" s="176"/>
      <c r="Q158" s="177" t="s">
        <v>9</v>
      </c>
      <c r="R158" s="177" t="s">
        <v>102</v>
      </c>
      <c r="S158" s="172"/>
      <c r="T158" s="167"/>
      <c r="U158" s="167"/>
      <c r="V158" s="167"/>
      <c r="W158" s="15"/>
      <c r="X158" s="161"/>
      <c r="Y158" s="167"/>
      <c r="Z158" s="59">
        <f>IF(OR($M158="",NOT($O158="{array}")),"",IFERROR(MATCH(PARAMETERS!$M158,DEFAULT!$B$5:$BZ$5,0),""))</f>
        <v>5</v>
      </c>
      <c r="AA158" s="56" t="str">
        <f t="shared" si="6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IF($AA158="","",IF($B158="I",VLOOKUP($AA158,#REF!,53,0),INDEX(VALUES!$B$1:$AO$1,1,$AA158)))</f>
        <v/>
      </c>
    </row>
    <row r="159" spans="1:29" outlineLevel="1" x14ac:dyDescent="0.25">
      <c r="A159" s="22" t="s">
        <v>83</v>
      </c>
      <c r="B159" s="41" t="str">
        <f t="shared" si="7"/>
        <v/>
      </c>
      <c r="C159" s="42">
        <f t="shared" si="8"/>
        <v>158</v>
      </c>
      <c r="D159" s="38"/>
      <c r="E159" s="38"/>
      <c r="F159" s="38"/>
      <c r="G159" s="38"/>
      <c r="H159" s="38"/>
      <c r="I159" s="38" t="s">
        <v>9</v>
      </c>
      <c r="J159" s="38"/>
      <c r="K159" s="160" t="s">
        <v>24</v>
      </c>
      <c r="L159" s="53" t="s">
        <v>27</v>
      </c>
      <c r="M159" s="181" t="s">
        <v>896</v>
      </c>
      <c r="N159" s="53" t="s">
        <v>897</v>
      </c>
      <c r="O159" s="149">
        <v>8.0000000000000002E-3</v>
      </c>
      <c r="P159" s="176"/>
      <c r="Q159" s="177" t="s">
        <v>9</v>
      </c>
      <c r="R159" s="177" t="s">
        <v>102</v>
      </c>
      <c r="S159" s="172"/>
      <c r="T159" s="167"/>
      <c r="U159" s="167"/>
      <c r="V159" s="167"/>
      <c r="W159" s="15"/>
      <c r="X159" s="161"/>
      <c r="Y159" s="167"/>
      <c r="Z159" s="59" t="str">
        <f>IF(OR($M159="",NOT($O159="{array}")),"",IFERROR(MATCH(PARAMETERS!$M159,DEFAULT!$B$5:$BZ$5,0),""))</f>
        <v/>
      </c>
      <c r="AA159" s="56" t="str">
        <f t="shared" si="6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IF($AA159="","",IF($B159="I",VLOOKUP($AA159,#REF!,53,0),INDEX(VALUES!$B$1:$AO$1,1,$AA159)))</f>
        <v/>
      </c>
    </row>
    <row r="160" spans="1:29" outlineLevel="1" x14ac:dyDescent="0.3">
      <c r="A160" s="22"/>
      <c r="B160" s="41" t="str">
        <f t="shared" si="7"/>
        <v/>
      </c>
      <c r="C160" s="42">
        <f t="shared" si="8"/>
        <v>159</v>
      </c>
      <c r="D160" s="38"/>
      <c r="E160" s="38"/>
      <c r="F160" s="38"/>
      <c r="G160" s="38"/>
      <c r="H160" s="38"/>
      <c r="I160" s="38" t="s">
        <v>9</v>
      </c>
      <c r="J160" s="38"/>
      <c r="K160" s="167" t="s">
        <v>18</v>
      </c>
      <c r="L160" s="14" t="s">
        <v>27</v>
      </c>
      <c r="M160" s="212" t="s">
        <v>617</v>
      </c>
      <c r="N160" s="167" t="s">
        <v>309</v>
      </c>
      <c r="O160" s="167" t="s">
        <v>309</v>
      </c>
      <c r="P160" s="161" t="s">
        <v>309</v>
      </c>
      <c r="Q160" s="172" t="s">
        <v>9</v>
      </c>
      <c r="R160" s="172" t="s">
        <v>102</v>
      </c>
      <c r="S160" s="172" t="s">
        <v>111</v>
      </c>
      <c r="T160" s="167" t="s">
        <v>309</v>
      </c>
      <c r="U160" s="167" t="s">
        <v>309</v>
      </c>
      <c r="V160" s="167" t="s">
        <v>617</v>
      </c>
      <c r="W160" s="15" t="s">
        <v>309</v>
      </c>
      <c r="X160" s="161">
        <v>55</v>
      </c>
      <c r="Y160" s="167" t="s">
        <v>618</v>
      </c>
      <c r="Z160" s="59" t="str">
        <f>IF(OR($M160="",NOT($O160="{array}")),"",IFERROR(MATCH(PARAMETERS!$M160,DEFAULT!$B$5:$BZ$5,0),""))</f>
        <v/>
      </c>
      <c r="AA160" s="56" t="str">
        <f t="shared" si="6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IF($AA160="","",IF($B160="I",VLOOKUP($AA160,#REF!,53,0),INDEX(VALUES!$B$1:$AO$1,1,$AA160)))</f>
        <v/>
      </c>
    </row>
    <row r="161" spans="1:29" outlineLevel="1" x14ac:dyDescent="0.3">
      <c r="A161" s="22" t="s">
        <v>83</v>
      </c>
      <c r="B161" s="41" t="str">
        <f t="shared" ref="B161:B185" si="10">IF($A161="P",IF(NOT($Z161=""),"A",IF(NOT($AA161=""),"I","")),IF(NOT($AA161=""),IF($A161="G","V","X"),IF(NOT($Z161=""),"A","")))</f>
        <v/>
      </c>
      <c r="C161" s="42">
        <f t="shared" ref="C161:C203" si="11">(ROW()-1)</f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47</v>
      </c>
      <c r="L161" s="14" t="s">
        <v>27</v>
      </c>
      <c r="M161" s="211" t="s">
        <v>619</v>
      </c>
      <c r="N161" s="14" t="s">
        <v>620</v>
      </c>
      <c r="O161" s="43">
        <v>1</v>
      </c>
      <c r="R161" s="38" t="s">
        <v>103</v>
      </c>
      <c r="S161" s="38"/>
      <c r="T161" s="38"/>
      <c r="W161" s="15" t="s">
        <v>103</v>
      </c>
      <c r="Z161" s="59" t="str">
        <f>IF(OR($M161="",NOT($O161="{array}")),"",IFERROR(MATCH(PARAMETERS!$M161,DEFAULT!$B$5:$BZ$5,0),""))</f>
        <v/>
      </c>
      <c r="AA161" s="56" t="str">
        <f t="shared" si="6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IF($AA161="","",IF($B161="I",VLOOKUP($AA161,#REF!,53,0),INDEX(VALUES!$B$1:$AO$1,1,$AA161)))</f>
        <v/>
      </c>
    </row>
    <row r="162" spans="1:29" outlineLevel="1" x14ac:dyDescent="0.3">
      <c r="A162" s="22" t="s">
        <v>83</v>
      </c>
      <c r="B162" s="41" t="str">
        <f t="shared" si="10"/>
        <v/>
      </c>
      <c r="C162" s="42">
        <f t="shared" si="11"/>
        <v>161</v>
      </c>
      <c r="D162" s="38"/>
      <c r="E162" s="38"/>
      <c r="F162" s="38" t="s">
        <v>9</v>
      </c>
      <c r="G162" s="38"/>
      <c r="H162" s="38"/>
      <c r="I162" s="38" t="s">
        <v>9</v>
      </c>
      <c r="J162" s="38"/>
      <c r="K162" s="14" t="s">
        <v>24</v>
      </c>
      <c r="L162" s="14" t="s">
        <v>27</v>
      </c>
      <c r="M162" s="211" t="s">
        <v>621</v>
      </c>
      <c r="N162" s="14" t="s">
        <v>622</v>
      </c>
      <c r="O162" s="43">
        <v>0.05</v>
      </c>
      <c r="R162" s="38" t="s">
        <v>103</v>
      </c>
      <c r="S162" s="38"/>
      <c r="T162" s="38"/>
      <c r="W162" s="15" t="s">
        <v>103</v>
      </c>
      <c r="Z162" s="59" t="str">
        <f>IF(OR($M162="",NOT($O162="{array}")),"",IFERROR(MATCH(PARAMETERS!$M162,DEFAULT!$B$5:$BZ$5,0),""))</f>
        <v/>
      </c>
      <c r="AA162" s="56" t="str">
        <f t="shared" si="6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IF($AA162="","",IF($B162="I",VLOOKUP($AA162,#REF!,53,0),INDEX(VALUES!$B$1:$AO$1,1,$AA162)))</f>
        <v/>
      </c>
    </row>
    <row r="163" spans="1:29" outlineLevel="1" x14ac:dyDescent="0.3">
      <c r="A163" s="22" t="s">
        <v>83</v>
      </c>
      <c r="B163" s="41" t="str">
        <f t="shared" si="10"/>
        <v/>
      </c>
      <c r="C163" s="42">
        <f t="shared" si="11"/>
        <v>162</v>
      </c>
      <c r="D163" s="38"/>
      <c r="E163" s="38"/>
      <c r="F163" s="38" t="s">
        <v>9</v>
      </c>
      <c r="G163" s="38"/>
      <c r="H163" s="38"/>
      <c r="I163" s="38" t="s">
        <v>9</v>
      </c>
      <c r="J163" s="38"/>
      <c r="K163" s="14" t="s">
        <v>24</v>
      </c>
      <c r="L163" s="14" t="s">
        <v>27</v>
      </c>
      <c r="M163" s="211" t="s">
        <v>623</v>
      </c>
      <c r="N163" s="14" t="s">
        <v>624</v>
      </c>
      <c r="O163" s="43">
        <v>0.06</v>
      </c>
      <c r="R163" s="38" t="s">
        <v>103</v>
      </c>
      <c r="S163" s="38"/>
      <c r="T163" s="38"/>
      <c r="W163" s="15" t="s">
        <v>103</v>
      </c>
      <c r="Z163" s="59" t="str">
        <f>IF(OR($M163="",NOT($O163="{array}")),"",IFERROR(MATCH(PARAMETERS!$M163,DEFAULT!$B$5:$BZ$5,0),""))</f>
        <v/>
      </c>
      <c r="AA163" s="56" t="str">
        <f t="shared" si="6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IF($AA163="","",IF($B163="I",VLOOKUP($AA163,#REF!,53,0),INDEX(VALUES!$B$1:$AO$1,1,$AA163)))</f>
        <v/>
      </c>
    </row>
    <row r="164" spans="1:29" outlineLevel="1" x14ac:dyDescent="0.3">
      <c r="A164" s="22" t="s">
        <v>83</v>
      </c>
      <c r="B164" s="41" t="str">
        <f t="shared" si="10"/>
        <v/>
      </c>
      <c r="C164" s="42">
        <f t="shared" si="11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24</v>
      </c>
      <c r="L164" s="14" t="s">
        <v>27</v>
      </c>
      <c r="M164" s="211" t="s">
        <v>625</v>
      </c>
      <c r="N164" s="14" t="s">
        <v>626</v>
      </c>
      <c r="O164" s="43">
        <v>0.01</v>
      </c>
      <c r="R164" s="38" t="s">
        <v>103</v>
      </c>
      <c r="S164" s="38"/>
      <c r="T164" s="38"/>
      <c r="W164" s="15" t="s">
        <v>103</v>
      </c>
      <c r="Z164" s="59" t="str">
        <f>IF(OR($M164="",NOT($O164="{array}")),"",IFERROR(MATCH(PARAMETERS!$M164,DEFAULT!$B$5:$BZ$5,0),""))</f>
        <v/>
      </c>
      <c r="AA164" s="56" t="str">
        <f t="shared" si="6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IF($AA164="","",IF($B164="I",VLOOKUP($AA164,#REF!,53,0),INDEX(VALUES!$B$1:$AO$1,1,$AA164)))</f>
        <v/>
      </c>
    </row>
    <row r="165" spans="1:29" outlineLevel="1" x14ac:dyDescent="0.3">
      <c r="A165" s="22" t="s">
        <v>83</v>
      </c>
      <c r="B165" s="41" t="str">
        <f t="shared" si="10"/>
        <v/>
      </c>
      <c r="C165" s="42">
        <f t="shared" si="11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11" t="s">
        <v>627</v>
      </c>
      <c r="N165" s="14" t="s">
        <v>628</v>
      </c>
      <c r="O165" s="43">
        <v>0.01</v>
      </c>
      <c r="R165" s="38" t="s">
        <v>103</v>
      </c>
      <c r="S165" s="38"/>
      <c r="T165" s="38"/>
      <c r="W165" s="15" t="s">
        <v>103</v>
      </c>
      <c r="Z165" s="59" t="str">
        <f>IF(OR($M165="",NOT($O165="{array}")),"",IFERROR(MATCH(PARAMETERS!$M165,DEFAULT!$B$5:$BZ$5,0),""))</f>
        <v/>
      </c>
      <c r="AA165" s="56" t="str">
        <f t="shared" si="6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IF($AA165="","",IF($B165="I",VLOOKUP($AA165,#REF!,53,0),INDEX(VALUES!$B$1:$AO$1,1,$AA165)))</f>
        <v/>
      </c>
    </row>
    <row r="166" spans="1:29" outlineLevel="1" x14ac:dyDescent="0.3">
      <c r="A166" s="22" t="s">
        <v>83</v>
      </c>
      <c r="B166" s="41" t="str">
        <f t="shared" si="10"/>
        <v/>
      </c>
      <c r="C166" s="42">
        <f t="shared" si="11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11" t="s">
        <v>629</v>
      </c>
      <c r="N166" s="14" t="s">
        <v>630</v>
      </c>
      <c r="O166" s="43">
        <v>0.01</v>
      </c>
      <c r="R166" s="38" t="s">
        <v>103</v>
      </c>
      <c r="S166" s="38"/>
      <c r="T166" s="38"/>
      <c r="W166" s="15" t="s">
        <v>103</v>
      </c>
      <c r="Z166" s="59" t="str">
        <f>IF(OR($M166="",NOT($O166="{array}")),"",IFERROR(MATCH(PARAMETERS!$M166,DEFAULT!$B$5:$BZ$5,0),""))</f>
        <v/>
      </c>
      <c r="AA166" s="56" t="str">
        <f t="shared" si="6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IF($AA166="","",IF($B166="I",VLOOKUP($AA166,#REF!,53,0),INDEX(VALUES!$B$1:$AO$1,1,$AA166)))</f>
        <v/>
      </c>
    </row>
    <row r="167" spans="1:29" outlineLevel="1" x14ac:dyDescent="0.3">
      <c r="A167" s="22" t="s">
        <v>83</v>
      </c>
      <c r="B167" s="41" t="str">
        <f t="shared" si="10"/>
        <v/>
      </c>
      <c r="C167" s="42">
        <f t="shared" si="11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50</v>
      </c>
      <c r="L167" s="14" t="s">
        <v>27</v>
      </c>
      <c r="M167" s="211" t="s">
        <v>631</v>
      </c>
      <c r="N167" s="14" t="s">
        <v>632</v>
      </c>
      <c r="O167" s="43">
        <v>133</v>
      </c>
      <c r="R167" s="38" t="s">
        <v>103</v>
      </c>
      <c r="S167" s="38"/>
      <c r="T167" s="38"/>
      <c r="W167" s="15" t="s">
        <v>103</v>
      </c>
      <c r="Z167" s="59" t="str">
        <f>IF(OR($M167="",NOT($O167="{array}")),"",IFERROR(MATCH(PARAMETERS!$M167,DEFAULT!$B$5:$BZ$5,0),""))</f>
        <v/>
      </c>
      <c r="AA167" s="56" t="str">
        <f t="shared" si="6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IF($AA167="","",IF($B167="I",VLOOKUP($AA167,#REF!,53,0),INDEX(VALUES!$B$1:$AO$1,1,$AA167)))</f>
        <v/>
      </c>
    </row>
    <row r="168" spans="1:29" outlineLevel="1" x14ac:dyDescent="0.3">
      <c r="A168" s="22" t="s">
        <v>83</v>
      </c>
      <c r="B168" s="41" t="str">
        <f t="shared" si="10"/>
        <v>V</v>
      </c>
      <c r="C168" s="42">
        <f t="shared" si="11"/>
        <v>167</v>
      </c>
      <c r="D168" s="38"/>
      <c r="E168" s="38"/>
      <c r="F168" s="38"/>
      <c r="G168" s="38"/>
      <c r="H168" s="38"/>
      <c r="I168" s="38" t="s">
        <v>9</v>
      </c>
      <c r="J168" s="38"/>
      <c r="K168" s="167" t="s">
        <v>18</v>
      </c>
      <c r="L168" s="14" t="s">
        <v>27</v>
      </c>
      <c r="M168" s="203" t="s">
        <v>867</v>
      </c>
      <c r="N168" s="167" t="s">
        <v>633</v>
      </c>
      <c r="O168" s="167" t="s">
        <v>634</v>
      </c>
      <c r="P168" s="161" t="s">
        <v>309</v>
      </c>
      <c r="Q168" s="172" t="s">
        <v>9</v>
      </c>
      <c r="R168" s="172" t="s">
        <v>102</v>
      </c>
      <c r="S168" s="172" t="s">
        <v>111</v>
      </c>
      <c r="T168" s="167" t="s">
        <v>309</v>
      </c>
      <c r="U168" s="167" t="s">
        <v>309</v>
      </c>
      <c r="V168" s="167" t="s">
        <v>633</v>
      </c>
      <c r="W168" s="15" t="s">
        <v>309</v>
      </c>
      <c r="X168" s="161">
        <v>47</v>
      </c>
      <c r="Y168" s="167" t="s">
        <v>635</v>
      </c>
      <c r="Z168" s="59" t="str">
        <f>IF(OR($M168="",NOT($O168="{array}")),"",IFERROR(MATCH(PARAMETERS!$M168,DEFAULT!$B$5:$BZ$5,0),""))</f>
        <v/>
      </c>
      <c r="AA168" s="56">
        <f t="shared" si="6"/>
        <v>12</v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>
        <f>IF($AA168="","",IF($B168="I",VLOOKUP($AA168,#REF!,53,0),INDEX(VALUES!$B$1:$AO$1,1,$AA168)))</f>
        <v>0</v>
      </c>
    </row>
    <row r="169" spans="1:29" outlineLevel="1" x14ac:dyDescent="0.3">
      <c r="A169" s="22" t="s">
        <v>83</v>
      </c>
      <c r="B169" s="41" t="str">
        <f t="shared" si="10"/>
        <v>V</v>
      </c>
      <c r="C169" s="42">
        <f t="shared" si="11"/>
        <v>168</v>
      </c>
      <c r="D169" s="38"/>
      <c r="E169" s="38"/>
      <c r="F169" s="38"/>
      <c r="G169" s="38"/>
      <c r="H169" s="38"/>
      <c r="I169" s="38" t="s">
        <v>9</v>
      </c>
      <c r="J169" s="38"/>
      <c r="K169" s="167" t="s">
        <v>18</v>
      </c>
      <c r="L169" s="14" t="s">
        <v>27</v>
      </c>
      <c r="M169" s="203" t="s">
        <v>868</v>
      </c>
      <c r="N169" s="160" t="s">
        <v>636</v>
      </c>
      <c r="O169" s="160" t="s">
        <v>637</v>
      </c>
      <c r="P169" s="176" t="s">
        <v>309</v>
      </c>
      <c r="Q169" s="177" t="s">
        <v>9</v>
      </c>
      <c r="R169" s="177" t="s">
        <v>102</v>
      </c>
      <c r="S169" s="177" t="s">
        <v>111</v>
      </c>
      <c r="T169" s="160" t="s">
        <v>309</v>
      </c>
      <c r="U169" s="160" t="s">
        <v>309</v>
      </c>
      <c r="V169" s="160" t="s">
        <v>636</v>
      </c>
      <c r="W169" s="15" t="s">
        <v>309</v>
      </c>
      <c r="X169" s="176">
        <v>47</v>
      </c>
      <c r="Y169" s="160" t="s">
        <v>638</v>
      </c>
      <c r="Z169" s="59" t="str">
        <f>IF(OR($M169="",NOT($O169="{array}")),"",IFERROR(MATCH(PARAMETERS!$M169,DEFAULT!$B$5:$BZ$5,0),""))</f>
        <v/>
      </c>
      <c r="AA169" s="56">
        <f t="shared" si="6"/>
        <v>14</v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>
        <f>IF($AA169="","",IF($B169="I",VLOOKUP($AA169,#REF!,53,0),INDEX(VALUES!$B$1:$AO$1,1,$AA169)))</f>
        <v>0</v>
      </c>
    </row>
    <row r="170" spans="1:29" outlineLevel="1" x14ac:dyDescent="0.3">
      <c r="A170" s="22" t="s">
        <v>83</v>
      </c>
      <c r="B170" s="41" t="str">
        <f t="shared" si="10"/>
        <v/>
      </c>
      <c r="C170" s="42">
        <f t="shared" si="11"/>
        <v>169</v>
      </c>
      <c r="D170" s="38"/>
      <c r="E170" s="38"/>
      <c r="F170" s="38"/>
      <c r="G170" s="38"/>
      <c r="H170" s="38"/>
      <c r="I170" s="38" t="s">
        <v>9</v>
      </c>
      <c r="J170" s="38"/>
      <c r="K170" s="167" t="s">
        <v>18</v>
      </c>
      <c r="L170" s="14" t="s">
        <v>27</v>
      </c>
      <c r="M170" s="203" t="s">
        <v>869</v>
      </c>
      <c r="N170" s="167" t="s">
        <v>639</v>
      </c>
      <c r="O170" s="167" t="s">
        <v>848</v>
      </c>
      <c r="P170" s="161" t="s">
        <v>309</v>
      </c>
      <c r="Q170" s="172" t="s">
        <v>9</v>
      </c>
      <c r="R170" s="172" t="s">
        <v>102</v>
      </c>
      <c r="S170" s="172" t="s">
        <v>111</v>
      </c>
      <c r="T170" s="167" t="s">
        <v>309</v>
      </c>
      <c r="U170" s="167" t="s">
        <v>309</v>
      </c>
      <c r="V170" s="167" t="s">
        <v>639</v>
      </c>
      <c r="W170" s="15" t="s">
        <v>309</v>
      </c>
      <c r="X170" s="161">
        <v>48</v>
      </c>
      <c r="Y170" s="167"/>
      <c r="Z170" s="59" t="str">
        <f>IF(OR($M170="",NOT($O170="{array}")),"",IFERROR(MATCH(PARAMETERS!$M170,DEFAULT!$B$5:$BZ$5,0),""))</f>
        <v/>
      </c>
      <c r="AA170" s="56" t="str">
        <f t="shared" si="6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IF($AA170="","",IF($B170="I",VLOOKUP($AA170,#REF!,53,0),INDEX(VALUES!$B$1:$AO$1,1,$AA170)))</f>
        <v/>
      </c>
    </row>
    <row r="171" spans="1:29" outlineLevel="1" x14ac:dyDescent="0.3">
      <c r="A171" s="22" t="s">
        <v>83</v>
      </c>
      <c r="B171" s="41" t="str">
        <f t="shared" si="10"/>
        <v/>
      </c>
      <c r="C171" s="42">
        <f t="shared" si="11"/>
        <v>170</v>
      </c>
      <c r="D171" s="38"/>
      <c r="E171" s="38"/>
      <c r="F171" s="38"/>
      <c r="G171" s="38"/>
      <c r="H171" s="38"/>
      <c r="I171" s="38" t="s">
        <v>9</v>
      </c>
      <c r="J171" s="38"/>
      <c r="K171" s="167" t="s">
        <v>18</v>
      </c>
      <c r="L171" s="14" t="s">
        <v>27</v>
      </c>
      <c r="M171" s="203" t="s">
        <v>870</v>
      </c>
      <c r="N171" s="160" t="s">
        <v>640</v>
      </c>
      <c r="O171" s="160" t="s">
        <v>848</v>
      </c>
      <c r="P171" s="176" t="s">
        <v>309</v>
      </c>
      <c r="Q171" s="177" t="s">
        <v>9</v>
      </c>
      <c r="R171" s="177" t="s">
        <v>102</v>
      </c>
      <c r="S171" s="177" t="s">
        <v>111</v>
      </c>
      <c r="T171" s="160" t="s">
        <v>309</v>
      </c>
      <c r="U171" s="160" t="s">
        <v>309</v>
      </c>
      <c r="V171" s="160" t="s">
        <v>640</v>
      </c>
      <c r="W171" s="15" t="s">
        <v>309</v>
      </c>
      <c r="X171" s="176">
        <v>48</v>
      </c>
      <c r="Y171" s="160"/>
      <c r="Z171" s="59" t="str">
        <f>IF(OR($M171="",NOT($O171="{array}")),"",IFERROR(MATCH(PARAMETERS!$M171,DEFAULT!$B$5:$BZ$5,0),""))</f>
        <v/>
      </c>
      <c r="AA171" s="56" t="str">
        <f t="shared" si="6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IF($AA171="","",IF($B171="I",VLOOKUP($AA171,#REF!,53,0),INDEX(VALUES!$B$1:$AO$1,1,$AA171)))</f>
        <v/>
      </c>
    </row>
    <row r="172" spans="1:29" outlineLevel="1" x14ac:dyDescent="0.3">
      <c r="A172" s="22" t="s">
        <v>83</v>
      </c>
      <c r="B172" s="41" t="str">
        <f>IF($A172="P",IF(NOT($Z172=""),"A",IF(NOT($AA172=""),"I","")),IF(NOT($AA172=""),IF($A172="G","V","X"),IF(NOT($Z172=""),"A","")))</f>
        <v/>
      </c>
      <c r="C172" s="42">
        <f>(ROW()-1)</f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24</v>
      </c>
      <c r="L172" s="53" t="s">
        <v>27</v>
      </c>
      <c r="M172" s="181" t="s">
        <v>775</v>
      </c>
      <c r="N172" s="53" t="s">
        <v>772</v>
      </c>
      <c r="O172" s="149">
        <v>0.15</v>
      </c>
      <c r="P172" s="53"/>
      <c r="Q172" s="197" t="s">
        <v>9</v>
      </c>
      <c r="R172" s="197" t="s">
        <v>102</v>
      </c>
      <c r="S172" s="38"/>
      <c r="T172" s="38"/>
      <c r="Z172" s="59" t="str">
        <f>IF(OR($M172="",NOT($O172="{array}")),"",IFERROR(MATCH(PARAMETERS!$M172,DEFAULT!$B$5:$BZ$5,0),""))</f>
        <v/>
      </c>
      <c r="AA172" s="56" t="str">
        <f t="shared" si="6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IF($AA172="","",IF($B172="I",VLOOKUP($AA172,#REF!,53,0),INDEX(VALUES!$B$1:$AO$1,1,$AA172)))</f>
        <v/>
      </c>
    </row>
    <row r="173" spans="1:29" outlineLevel="1" x14ac:dyDescent="0.3">
      <c r="A173" s="22" t="s">
        <v>83</v>
      </c>
      <c r="B173" s="41" t="str">
        <f>IF($A173="P",IF(NOT($Z173=""),"A",IF(NOT($AA173=""),"I","")),IF(NOT($AA173=""),IF($A173="G","V","X"),IF(NOT($Z173=""),"A","")))</f>
        <v>V</v>
      </c>
      <c r="C173" s="42">
        <f>(ROW()-1)</f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44</v>
      </c>
      <c r="L173" s="53" t="s">
        <v>27</v>
      </c>
      <c r="M173" s="181" t="s">
        <v>777</v>
      </c>
      <c r="N173" s="53" t="s">
        <v>773</v>
      </c>
      <c r="O173" s="149">
        <v>1</v>
      </c>
      <c r="P173" s="53"/>
      <c r="Q173" s="197"/>
      <c r="R173" s="197" t="s">
        <v>102</v>
      </c>
      <c r="S173" s="38"/>
      <c r="T173" s="38"/>
      <c r="Z173" s="59" t="str">
        <f>IF(OR($M173="",NOT($O173="{array}")),"",IFERROR(MATCH(PARAMETERS!$M173,DEFAULT!$B$5:$BZ$5,0),""))</f>
        <v/>
      </c>
      <c r="AA173" s="56">
        <f t="shared" si="6"/>
        <v>6</v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IF($AA173="","",IF($B173="I",VLOOKUP($AA173,#REF!,53,0),INDEX(VALUES!$B$1:$AO$1,1,$AA173)))</f>
        <v>0 | 1</v>
      </c>
    </row>
    <row r="174" spans="1:29" outlineLevel="1" x14ac:dyDescent="0.3">
      <c r="A174" s="22" t="s">
        <v>83</v>
      </c>
      <c r="B174" s="41" t="str">
        <f>IF($A174="P",IF(NOT($Z174=""),"A",IF(NOT($AA174=""),"I","")),IF(NOT($AA174=""),IF($A174="G","V","X"),IF(NOT($Z174=""),"A","")))</f>
        <v/>
      </c>
      <c r="C174" s="42">
        <f>(ROW()-1)</f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181" t="s">
        <v>776</v>
      </c>
      <c r="N174" s="53" t="s">
        <v>774</v>
      </c>
      <c r="O174" s="149">
        <v>0</v>
      </c>
      <c r="P174" s="53"/>
      <c r="Q174" s="197" t="s">
        <v>9</v>
      </c>
      <c r="R174" s="197" t="s">
        <v>102</v>
      </c>
      <c r="S174" s="38"/>
      <c r="T174" s="38"/>
      <c r="Z174" s="59" t="str">
        <f>IF(OR($M174="",NOT($O174="{array}")),"",IFERROR(MATCH(PARAMETERS!$M174,DEFAULT!$B$5:$BZ$5,0),""))</f>
        <v/>
      </c>
      <c r="AA174" s="56" t="str">
        <f t="shared" si="6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IF($AA174="","",IF($B174="I",VLOOKUP($AA174,#REF!,53,0),INDEX(VALUES!$B$1:$AO$1,1,$AA174)))</f>
        <v/>
      </c>
    </row>
    <row r="175" spans="1:29" outlineLevel="1" x14ac:dyDescent="0.3">
      <c r="A175" s="22" t="s">
        <v>83</v>
      </c>
      <c r="B175" s="41"/>
      <c r="C175" s="42"/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181" t="s">
        <v>784</v>
      </c>
      <c r="N175" s="53" t="s">
        <v>786</v>
      </c>
      <c r="O175" s="149">
        <v>0.05</v>
      </c>
      <c r="Q175" s="38" t="s">
        <v>9</v>
      </c>
      <c r="R175" s="38" t="s">
        <v>102</v>
      </c>
      <c r="S175" s="38"/>
      <c r="T175" s="38"/>
      <c r="W175" s="15"/>
      <c r="Y175" s="14" t="s">
        <v>788</v>
      </c>
      <c r="Z175" s="59" t="str">
        <f>IF(OR($M175="",NOT($O175="{array}")),"",IFERROR(MATCH(PARAMETERS!$M175,DEFAULT!$B$5:$BZ$5,0),""))</f>
        <v/>
      </c>
      <c r="AA175" s="56" t="str">
        <f t="shared" ref="AA175:AA214" si="12">IF($M175="","",IFERROR(MATCH($M175,VALUESnames,0),""))</f>
        <v/>
      </c>
      <c r="AC175" s="17"/>
    </row>
    <row r="176" spans="1:29" outlineLevel="1" x14ac:dyDescent="0.3">
      <c r="A176" s="22" t="s">
        <v>83</v>
      </c>
      <c r="B176" s="41"/>
      <c r="C176" s="42"/>
      <c r="D176" s="38"/>
      <c r="E176" s="38"/>
      <c r="F176" s="38"/>
      <c r="G176" s="38"/>
      <c r="H176" s="38"/>
      <c r="I176" s="38" t="s">
        <v>9</v>
      </c>
      <c r="J176" s="38"/>
      <c r="K176" s="53" t="s">
        <v>24</v>
      </c>
      <c r="L176" s="53" t="s">
        <v>27</v>
      </c>
      <c r="M176" s="181" t="s">
        <v>785</v>
      </c>
      <c r="N176" s="53" t="s">
        <v>787</v>
      </c>
      <c r="O176" s="149">
        <v>0.08</v>
      </c>
      <c r="Q176" s="38" t="s">
        <v>9</v>
      </c>
      <c r="R176" s="38" t="s">
        <v>102</v>
      </c>
      <c r="S176" s="38"/>
      <c r="T176" s="38"/>
      <c r="W176" s="15"/>
      <c r="Y176" s="14" t="s">
        <v>789</v>
      </c>
      <c r="Z176" s="59" t="str">
        <f>IF(OR($M176="",NOT($O176="{array}")),"",IFERROR(MATCH(PARAMETERS!$M176,DEFAULT!$B$5:$BZ$5,0),""))</f>
        <v/>
      </c>
      <c r="AA176" s="56" t="str">
        <f t="shared" si="12"/>
        <v/>
      </c>
      <c r="AC176" s="17"/>
    </row>
    <row r="177" spans="1:29" x14ac:dyDescent="0.3">
      <c r="A177" s="22" t="s">
        <v>83</v>
      </c>
      <c r="B177" s="41" t="str">
        <f t="shared" si="10"/>
        <v/>
      </c>
      <c r="C177" s="42">
        <f t="shared" si="11"/>
        <v>176</v>
      </c>
      <c r="D177" s="38"/>
      <c r="E177" s="38"/>
      <c r="F177" s="38"/>
      <c r="G177" s="38"/>
      <c r="H177" s="38"/>
      <c r="I177" s="38"/>
      <c r="J177" s="38"/>
      <c r="K177" s="14" t="s">
        <v>57</v>
      </c>
      <c r="L177" s="14" t="s">
        <v>38</v>
      </c>
      <c r="M177" s="213" t="s">
        <v>641</v>
      </c>
      <c r="N177" s="41" t="s">
        <v>642</v>
      </c>
      <c r="R177" s="38" t="s">
        <v>103</v>
      </c>
      <c r="S177" s="38"/>
      <c r="T177" s="38"/>
      <c r="W177" s="15" t="s">
        <v>309</v>
      </c>
      <c r="Z177" s="59" t="str">
        <f>IF(OR($M177="",NOT($O177="{array}")),"",IFERROR(MATCH(PARAMETERS!$M177,DEFAULT!$B$5:$BZ$5,0),""))</f>
        <v/>
      </c>
      <c r="AA177" s="56" t="str">
        <f t="shared" si="12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IF($AA177="","",IF($B177="I",VLOOKUP($AA177,#REF!,53,0),INDEX(VALUES!$B$1:$AO$1,1,$AA177)))</f>
        <v/>
      </c>
    </row>
    <row r="178" spans="1:29" hidden="1" outlineLevel="1" x14ac:dyDescent="0.3">
      <c r="A178" s="22" t="s">
        <v>83</v>
      </c>
      <c r="B178" s="41" t="str">
        <f t="shared" si="10"/>
        <v/>
      </c>
      <c r="C178" s="42">
        <f t="shared" si="11"/>
        <v>177</v>
      </c>
      <c r="D178" s="38"/>
      <c r="E178" s="38"/>
      <c r="F178" s="38"/>
      <c r="G178" s="38"/>
      <c r="H178" s="38"/>
      <c r="I178" s="38" t="s">
        <v>9</v>
      </c>
      <c r="J178" s="38"/>
      <c r="K178" s="14" t="s">
        <v>47</v>
      </c>
      <c r="L178" s="14" t="s">
        <v>27</v>
      </c>
      <c r="M178" s="211" t="s">
        <v>643</v>
      </c>
      <c r="N178" s="14" t="s">
        <v>644</v>
      </c>
      <c r="O178" s="43">
        <v>1</v>
      </c>
      <c r="R178" s="38" t="s">
        <v>103</v>
      </c>
      <c r="S178" s="38"/>
      <c r="T178" s="38"/>
      <c r="W178" s="15" t="s">
        <v>103</v>
      </c>
      <c r="Z178" s="59" t="str">
        <f>IF(OR($M178="",NOT($O178="{array}")),"",IFERROR(MATCH(PARAMETERS!$M178,DEFAULT!$B$5:$BZ$5,0),""))</f>
        <v/>
      </c>
      <c r="AA178" s="56" t="str">
        <f t="shared" si="12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IF($AA178="","",IF($B178="I",VLOOKUP($AA178,#REF!,53,0),INDEX(VALUES!$B$1:$AO$1,1,$AA178)))</f>
        <v/>
      </c>
    </row>
    <row r="179" spans="1:29" hidden="1" outlineLevel="1" x14ac:dyDescent="0.3">
      <c r="A179" s="22" t="s">
        <v>83</v>
      </c>
      <c r="B179" s="41" t="str">
        <f t="shared" si="10"/>
        <v/>
      </c>
      <c r="C179" s="42">
        <f t="shared" si="11"/>
        <v>178</v>
      </c>
      <c r="D179" s="38"/>
      <c r="E179" s="38"/>
      <c r="F179" s="38"/>
      <c r="G179" s="38"/>
      <c r="H179" s="38"/>
      <c r="I179" s="38" t="s">
        <v>9</v>
      </c>
      <c r="J179" s="38"/>
      <c r="K179" s="14" t="s">
        <v>24</v>
      </c>
      <c r="L179" s="14" t="s">
        <v>27</v>
      </c>
      <c r="M179" s="211" t="s">
        <v>645</v>
      </c>
      <c r="N179" s="14" t="s">
        <v>646</v>
      </c>
      <c r="O179" s="43">
        <v>0.51243780999999999</v>
      </c>
      <c r="R179" s="38" t="s">
        <v>103</v>
      </c>
      <c r="S179" s="38"/>
      <c r="T179" s="38"/>
      <c r="W179" s="15" t="s">
        <v>103</v>
      </c>
      <c r="Z179" s="59" t="str">
        <f>IF(OR($M179="",NOT($O179="{array}")),"",IFERROR(MATCH(PARAMETERS!$M179,DEFAULT!$B$5:$BZ$5,0),""))</f>
        <v/>
      </c>
      <c r="AA179" s="56" t="str">
        <f t="shared" si="12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IF($AA179="","",IF($B179="I",VLOOKUP($AA179,#REF!,53,0),INDEX(VALUES!$B$1:$AO$1,1,$AA179)))</f>
        <v/>
      </c>
    </row>
    <row r="180" spans="1:29" hidden="1" outlineLevel="1" x14ac:dyDescent="0.3">
      <c r="A180" s="22" t="s">
        <v>83</v>
      </c>
      <c r="B180" s="41" t="str">
        <f t="shared" si="10"/>
        <v/>
      </c>
      <c r="C180" s="42">
        <f t="shared" si="11"/>
        <v>179</v>
      </c>
      <c r="D180" s="38"/>
      <c r="E180" s="38"/>
      <c r="F180" s="38"/>
      <c r="G180" s="38"/>
      <c r="H180" s="38"/>
      <c r="I180" s="38" t="s">
        <v>9</v>
      </c>
      <c r="J180" s="38"/>
      <c r="K180" s="14" t="s">
        <v>24</v>
      </c>
      <c r="L180" s="14" t="s">
        <v>27</v>
      </c>
      <c r="M180" s="211" t="s">
        <v>647</v>
      </c>
      <c r="N180" s="14" t="s">
        <v>648</v>
      </c>
      <c r="O180" s="43">
        <v>0.51756219000000003</v>
      </c>
      <c r="R180" s="38" t="s">
        <v>103</v>
      </c>
      <c r="S180" s="38"/>
      <c r="T180" s="38"/>
      <c r="W180" s="15" t="s">
        <v>103</v>
      </c>
      <c r="Y180" s="14" t="s">
        <v>649</v>
      </c>
      <c r="Z180" s="59" t="str">
        <f>IF(OR($M180="",NOT($O180="{array}")),"",IFERROR(MATCH(PARAMETERS!$M180,DEFAULT!$B$5:$BZ$5,0),""))</f>
        <v/>
      </c>
      <c r="AA180" s="56" t="str">
        <f t="shared" si="12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IF($AA180="","",IF($B180="I",VLOOKUP($AA180,#REF!,53,0),INDEX(VALUES!$B$1:$AO$1,1,$AA180)))</f>
        <v/>
      </c>
    </row>
    <row r="181" spans="1:29" hidden="1" outlineLevel="1" x14ac:dyDescent="0.3">
      <c r="A181" s="22"/>
      <c r="B181" s="41" t="str">
        <f t="shared" si="10"/>
        <v/>
      </c>
      <c r="C181" s="42">
        <f t="shared" si="11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47</v>
      </c>
      <c r="L181" s="14" t="s">
        <v>27</v>
      </c>
      <c r="M181" s="211" t="s">
        <v>650</v>
      </c>
      <c r="N181" s="14" t="s">
        <v>651</v>
      </c>
      <c r="O181" s="43">
        <v>1</v>
      </c>
      <c r="R181" s="38" t="s">
        <v>103</v>
      </c>
      <c r="S181" s="38"/>
      <c r="T181" s="38"/>
      <c r="W181" s="15" t="s">
        <v>103</v>
      </c>
      <c r="Z181" s="59" t="str">
        <f>IF(OR($M181="",NOT($O181="{array}")),"",IFERROR(MATCH(PARAMETERS!$M181,DEFAULT!$B$5:$BZ$5,0),""))</f>
        <v/>
      </c>
      <c r="AA181" s="56" t="str">
        <f t="shared" si="12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IF($AA181="","",IF($B181="I",VLOOKUP($AA181,#REF!,53,0),INDEX(VALUES!$B$1:$AO$1,1,$AA181)))</f>
        <v/>
      </c>
    </row>
    <row r="182" spans="1:29" hidden="1" outlineLevel="1" x14ac:dyDescent="0.3">
      <c r="A182" s="22" t="s">
        <v>83</v>
      </c>
      <c r="B182" s="41" t="str">
        <f t="shared" si="10"/>
        <v/>
      </c>
      <c r="C182" s="42">
        <f t="shared" si="11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24</v>
      </c>
      <c r="L182" s="14" t="s">
        <v>27</v>
      </c>
      <c r="M182" s="211" t="s">
        <v>936</v>
      </c>
      <c r="N182" s="14" t="s">
        <v>935</v>
      </c>
      <c r="O182" s="43">
        <v>0.39743781</v>
      </c>
      <c r="R182" s="38" t="s">
        <v>103</v>
      </c>
      <c r="S182" s="38"/>
      <c r="T182" s="38"/>
      <c r="W182" s="15" t="s">
        <v>309</v>
      </c>
      <c r="Z182" s="59" t="str">
        <f>IF(OR($M182="",NOT($O182="{array}")),"",IFERROR(MATCH(PARAMETERS!$M182,DEFAULT!$B$5:$BZ$5,0),""))</f>
        <v/>
      </c>
      <c r="AA182" s="56" t="str">
        <f t="shared" si="12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IF($AA182="","",IF($B182="I",VLOOKUP($AA182,#REF!,53,0),INDEX(VALUES!$B$1:$AO$1,1,$AA182)))</f>
        <v/>
      </c>
    </row>
    <row r="183" spans="1:29" hidden="1" outlineLevel="1" x14ac:dyDescent="0.3">
      <c r="A183" s="22" t="s">
        <v>83</v>
      </c>
      <c r="B183" s="41" t="str">
        <f t="shared" si="10"/>
        <v/>
      </c>
      <c r="C183" s="42">
        <f t="shared" si="11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24</v>
      </c>
      <c r="L183" s="14" t="s">
        <v>27</v>
      </c>
      <c r="M183" s="211" t="s">
        <v>652</v>
      </c>
      <c r="N183" s="14" t="s">
        <v>934</v>
      </c>
      <c r="O183" s="43">
        <v>0.40256218999999999</v>
      </c>
      <c r="R183" s="38" t="s">
        <v>103</v>
      </c>
      <c r="S183" s="38"/>
      <c r="T183" s="38"/>
      <c r="W183" s="15" t="s">
        <v>103</v>
      </c>
      <c r="Z183" s="59" t="str">
        <f>IF(OR($M183="",NOT($O183="{array}")),"",IFERROR(MATCH(PARAMETERS!$M183,DEFAULT!$B$5:$BZ$5,0),""))</f>
        <v/>
      </c>
      <c r="AA183" s="56" t="str">
        <f t="shared" si="12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IF($AA183="","",IF($B183="I",VLOOKUP($AA183,#REF!,53,0),INDEX(VALUES!$B$1:$AO$1,1,$AA183)))</f>
        <v/>
      </c>
    </row>
    <row r="184" spans="1:29" hidden="1" outlineLevel="1" x14ac:dyDescent="0.3">
      <c r="A184" s="22" t="s">
        <v>83</v>
      </c>
      <c r="B184" s="41" t="str">
        <f t="shared" si="10"/>
        <v/>
      </c>
      <c r="C184" s="42">
        <f t="shared" si="11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24</v>
      </c>
      <c r="L184" s="14" t="s">
        <v>27</v>
      </c>
      <c r="M184" s="211" t="s">
        <v>653</v>
      </c>
      <c r="N184" s="14" t="s">
        <v>939</v>
      </c>
      <c r="O184" s="43">
        <v>1.9650000000000001</v>
      </c>
      <c r="R184" s="38" t="s">
        <v>103</v>
      </c>
      <c r="S184" s="38"/>
      <c r="T184" s="38"/>
      <c r="W184" s="15" t="s">
        <v>103</v>
      </c>
      <c r="Z184" s="59" t="str">
        <f>IF(OR($M184="",NOT($O184="{array}")),"",IFERROR(MATCH(PARAMETERS!$M184,DEFAULT!$B$5:$BZ$5,0),""))</f>
        <v/>
      </c>
      <c r="AA184" s="56" t="str">
        <f t="shared" si="12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IF($AA184="","",IF($B184="I",VLOOKUP($AA184,#REF!,53,0),INDEX(VALUES!$B$1:$AO$1,1,$AA184)))</f>
        <v/>
      </c>
    </row>
    <row r="185" spans="1:29" hidden="1" outlineLevel="1" x14ac:dyDescent="0.3">
      <c r="A185" s="22" t="s">
        <v>83</v>
      </c>
      <c r="B185" s="41" t="str">
        <f t="shared" si="10"/>
        <v/>
      </c>
      <c r="C185" s="42">
        <f t="shared" si="11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24</v>
      </c>
      <c r="L185" s="14" t="s">
        <v>27</v>
      </c>
      <c r="M185" s="211" t="s">
        <v>937</v>
      </c>
      <c r="N185" s="14" t="s">
        <v>938</v>
      </c>
      <c r="O185" s="43">
        <v>1.9650000000000001</v>
      </c>
      <c r="R185" s="38" t="s">
        <v>103</v>
      </c>
      <c r="S185" s="38"/>
      <c r="T185" s="38"/>
      <c r="W185" s="15" t="s">
        <v>309</v>
      </c>
      <c r="Z185" s="59" t="str">
        <f>IF(OR($M185="",NOT($O185="{array}")),"",IFERROR(MATCH(PARAMETERS!$M185,DEFAULT!$B$5:$BZ$5,0),""))</f>
        <v/>
      </c>
      <c r="AA185" s="56" t="str">
        <f t="shared" si="12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IF($AA185="","",IF($B185="I",VLOOKUP($AA185,#REF!,53,0),INDEX(VALUES!$B$1:$AO$1,1,$AA185)))</f>
        <v/>
      </c>
    </row>
    <row r="186" spans="1:29" hidden="1" outlineLevel="1" x14ac:dyDescent="0.3">
      <c r="A186" s="22" t="s">
        <v>83</v>
      </c>
      <c r="B186" s="41" t="str">
        <f t="shared" ref="B186:B191" si="13">IF($A186="P",IF(NOT($Z186=""),"A",IF(NOT($AA186=""),"I","")),IF(NOT($AA186=""),IF($A186="G","V","X"),IF(NOT($Z186=""),"A","")))</f>
        <v/>
      </c>
      <c r="C186" s="42">
        <f t="shared" si="11"/>
        <v>185</v>
      </c>
      <c r="D186" s="38"/>
      <c r="E186" s="38"/>
      <c r="F186" s="38"/>
      <c r="G186" s="38"/>
      <c r="H186" s="38"/>
      <c r="I186" s="38" t="s">
        <v>9</v>
      </c>
      <c r="J186" s="38"/>
      <c r="K186" s="14" t="s">
        <v>44</v>
      </c>
      <c r="L186" s="14" t="s">
        <v>27</v>
      </c>
      <c r="M186" s="211" t="s">
        <v>654</v>
      </c>
      <c r="N186" s="14" t="s">
        <v>657</v>
      </c>
      <c r="O186" s="43">
        <v>0</v>
      </c>
      <c r="R186" s="38" t="s">
        <v>103</v>
      </c>
      <c r="S186" s="38"/>
      <c r="T186" s="38"/>
      <c r="W186" s="15" t="s">
        <v>309</v>
      </c>
      <c r="Z186" s="59" t="str">
        <f>IF(OR($M186="",NOT($O186="{array}")),"",IFERROR(MATCH(PARAMETERS!$M186,DEFAULT!$B$5:$BZ$5,0),""))</f>
        <v/>
      </c>
      <c r="AA186" s="56" t="str">
        <f t="shared" si="12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IF($AA186="","",IF($B186="I",VLOOKUP($AA186,#REF!,53,0),INDEX(VALUES!$B$1:$AO$1,1,$AA186)))</f>
        <v/>
      </c>
    </row>
    <row r="187" spans="1:29" hidden="1" outlineLevel="1" x14ac:dyDescent="0.3">
      <c r="A187" s="22" t="s">
        <v>83</v>
      </c>
      <c r="B187" s="41" t="str">
        <f t="shared" si="13"/>
        <v/>
      </c>
      <c r="C187" s="42">
        <f t="shared" si="11"/>
        <v>186</v>
      </c>
      <c r="D187" s="38"/>
      <c r="E187" s="38"/>
      <c r="F187" s="38"/>
      <c r="G187" s="38"/>
      <c r="H187" s="38"/>
      <c r="I187" s="38" t="s">
        <v>9</v>
      </c>
      <c r="J187" s="38"/>
      <c r="K187" s="14" t="s">
        <v>44</v>
      </c>
      <c r="L187" s="14" t="s">
        <v>27</v>
      </c>
      <c r="M187" s="211" t="s">
        <v>656</v>
      </c>
      <c r="N187" s="14" t="s">
        <v>655</v>
      </c>
      <c r="O187" s="43">
        <v>1</v>
      </c>
      <c r="R187" s="38" t="s">
        <v>103</v>
      </c>
      <c r="S187" s="38"/>
      <c r="T187" s="38"/>
      <c r="W187" s="15" t="s">
        <v>309</v>
      </c>
      <c r="Z187" s="59" t="str">
        <f>IF(OR($M187="",NOT($O187="{array}")),"",IFERROR(MATCH(PARAMETERS!$M187,DEFAULT!$B$5:$BZ$5,0),""))</f>
        <v/>
      </c>
      <c r="AA187" s="56" t="str">
        <f t="shared" si="12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IF($AA187="","",IF($B187="I",VLOOKUP($AA187,#REF!,53,0),INDEX(VALUES!$B$1:$AO$1,1,$AA187)))</f>
        <v/>
      </c>
    </row>
    <row r="188" spans="1:29" hidden="1" outlineLevel="1" x14ac:dyDescent="0.3">
      <c r="A188" s="22" t="s">
        <v>83</v>
      </c>
      <c r="B188" s="41" t="str">
        <f t="shared" si="13"/>
        <v/>
      </c>
      <c r="C188" s="42">
        <f t="shared" si="11"/>
        <v>187</v>
      </c>
      <c r="D188" s="38"/>
      <c r="E188" s="38"/>
      <c r="F188" s="38"/>
      <c r="G188" s="38"/>
      <c r="H188" s="38"/>
      <c r="I188" s="38" t="s">
        <v>9</v>
      </c>
      <c r="J188" s="38"/>
      <c r="K188" s="14" t="s">
        <v>24</v>
      </c>
      <c r="L188" s="14" t="s">
        <v>27</v>
      </c>
      <c r="M188" s="211" t="s">
        <v>658</v>
      </c>
      <c r="N188" s="14" t="s">
        <v>659</v>
      </c>
      <c r="O188" s="43">
        <v>0.1</v>
      </c>
      <c r="R188" s="38" t="s">
        <v>103</v>
      </c>
      <c r="S188" s="38"/>
      <c r="T188" s="38"/>
      <c r="W188" s="15" t="s">
        <v>103</v>
      </c>
      <c r="Z188" s="59" t="str">
        <f>IF(OR($M188="",NOT($O188="{array}")),"",IFERROR(MATCH(PARAMETERS!$M188,DEFAULT!$B$5:$BZ$5,0),""))</f>
        <v/>
      </c>
      <c r="AA188" s="56" t="str">
        <f t="shared" si="12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IF($AA188="","",IF($B188="I",VLOOKUP($AA188,#REF!,53,0),INDEX(VALUES!$B$1:$AO$1,1,$AA188)))</f>
        <v/>
      </c>
    </row>
    <row r="189" spans="1:29" hidden="1" outlineLevel="1" x14ac:dyDescent="0.3">
      <c r="A189" s="22" t="s">
        <v>83</v>
      </c>
      <c r="B189" s="41" t="str">
        <f t="shared" si="13"/>
        <v/>
      </c>
      <c r="C189" s="42">
        <f t="shared" si="11"/>
        <v>188</v>
      </c>
      <c r="D189" s="38"/>
      <c r="E189" s="38"/>
      <c r="F189" s="38"/>
      <c r="G189" s="38"/>
      <c r="H189" s="38"/>
      <c r="I189" s="38" t="s">
        <v>9</v>
      </c>
      <c r="J189" s="38"/>
      <c r="K189" s="14" t="s">
        <v>24</v>
      </c>
      <c r="L189" s="14" t="s">
        <v>27</v>
      </c>
      <c r="M189" s="211" t="s">
        <v>660</v>
      </c>
      <c r="N189" s="14" t="s">
        <v>661</v>
      </c>
      <c r="O189" s="43">
        <v>0.1</v>
      </c>
      <c r="R189" s="38" t="s">
        <v>103</v>
      </c>
      <c r="S189" s="38"/>
      <c r="T189" s="38"/>
      <c r="W189" s="15" t="s">
        <v>103</v>
      </c>
      <c r="Z189" s="59" t="str">
        <f>IF(OR($M189="",NOT($O189="{array}")),"",IFERROR(MATCH(PARAMETERS!$M189,DEFAULT!$B$5:$BZ$5,0),""))</f>
        <v/>
      </c>
      <c r="AA189" s="56" t="str">
        <f t="shared" si="12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IF($AA189="","",IF($B189="I",VLOOKUP($AA189,#REF!,53,0),INDEX(VALUES!$B$1:$AO$1,1,$AA189)))</f>
        <v/>
      </c>
    </row>
    <row r="190" spans="1:29" hidden="1" outlineLevel="1" x14ac:dyDescent="0.3">
      <c r="A190" s="22"/>
      <c r="B190" s="41" t="str">
        <f t="shared" si="13"/>
        <v/>
      </c>
      <c r="C190" s="42">
        <f t="shared" si="11"/>
        <v>189</v>
      </c>
      <c r="D190" s="38"/>
      <c r="E190" s="38"/>
      <c r="F190" s="38"/>
      <c r="G190" s="38"/>
      <c r="H190" s="38"/>
      <c r="I190" s="38"/>
      <c r="J190" s="38"/>
      <c r="K190" s="167" t="s">
        <v>18</v>
      </c>
      <c r="L190" s="168" t="s">
        <v>21</v>
      </c>
      <c r="M190" s="212" t="s">
        <v>662</v>
      </c>
      <c r="N190" s="167" t="s">
        <v>309</v>
      </c>
      <c r="O190" s="167" t="s">
        <v>309</v>
      </c>
      <c r="P190" s="161" t="s">
        <v>309</v>
      </c>
      <c r="Q190" s="172" t="s">
        <v>9</v>
      </c>
      <c r="R190" s="172" t="s">
        <v>102</v>
      </c>
      <c r="S190" s="172" t="s">
        <v>111</v>
      </c>
      <c r="T190" s="167" t="s">
        <v>309</v>
      </c>
      <c r="U190" s="167" t="s">
        <v>309</v>
      </c>
      <c r="V190" s="167" t="s">
        <v>662</v>
      </c>
      <c r="W190" s="15" t="s">
        <v>309</v>
      </c>
      <c r="X190" s="161" t="s">
        <v>309</v>
      </c>
      <c r="Y190" s="167" t="s">
        <v>309</v>
      </c>
      <c r="Z190" s="59" t="str">
        <f>IF(OR($M190="",NOT($O190="{array}")),"",IFERROR(MATCH(PARAMETERS!$M190,DEFAULT!$B$5:$BZ$5,0),""))</f>
        <v/>
      </c>
      <c r="AA190" s="56" t="str">
        <f t="shared" si="12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IF($AA190="","",IF($B190="I",VLOOKUP($AA190,#REF!,53,0),INDEX(VALUES!$B$1:$AO$1,1,$AA190)))</f>
        <v/>
      </c>
    </row>
    <row r="191" spans="1:29" hidden="1" outlineLevel="1" x14ac:dyDescent="0.3">
      <c r="A191" s="22"/>
      <c r="B191" s="41" t="str">
        <f t="shared" si="13"/>
        <v/>
      </c>
      <c r="C191" s="42">
        <f t="shared" si="11"/>
        <v>190</v>
      </c>
      <c r="D191" s="38"/>
      <c r="E191" s="38"/>
      <c r="F191" s="38"/>
      <c r="G191" s="38"/>
      <c r="H191" s="38"/>
      <c r="I191" s="38"/>
      <c r="J191" s="38"/>
      <c r="K191" s="167" t="s">
        <v>18</v>
      </c>
      <c r="L191" s="168" t="s">
        <v>21</v>
      </c>
      <c r="M191" s="212" t="s">
        <v>663</v>
      </c>
      <c r="N191" s="167" t="s">
        <v>309</v>
      </c>
      <c r="O191" s="167" t="s">
        <v>309</v>
      </c>
      <c r="P191" s="161" t="s">
        <v>309</v>
      </c>
      <c r="Q191" s="172" t="s">
        <v>9</v>
      </c>
      <c r="R191" s="172" t="s">
        <v>102</v>
      </c>
      <c r="S191" s="172" t="s">
        <v>111</v>
      </c>
      <c r="T191" s="167" t="s">
        <v>309</v>
      </c>
      <c r="U191" s="167" t="s">
        <v>309</v>
      </c>
      <c r="V191" s="167" t="s">
        <v>663</v>
      </c>
      <c r="W191" s="15" t="s">
        <v>309</v>
      </c>
      <c r="X191" s="161" t="s">
        <v>309</v>
      </c>
      <c r="Y191" s="167" t="s">
        <v>309</v>
      </c>
      <c r="Z191" s="59" t="str">
        <f>IF(OR($M191="",NOT($O191="{array}")),"",IFERROR(MATCH(PARAMETERS!$M191,DEFAULT!$B$5:$BZ$5,0),""))</f>
        <v/>
      </c>
      <c r="AA191" s="56" t="str">
        <f t="shared" si="12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IF($AA191="","",IF($B191="I",VLOOKUP($AA191,#REF!,53,0),INDEX(VALUES!$B$1:$AO$1,1,$AA191)))</f>
        <v/>
      </c>
    </row>
    <row r="192" spans="1:29" hidden="1" outlineLevel="1" x14ac:dyDescent="0.3">
      <c r="A192" s="22" t="s">
        <v>83</v>
      </c>
      <c r="B192" s="41"/>
      <c r="C192" s="42"/>
      <c r="D192" s="38"/>
      <c r="E192" s="38"/>
      <c r="F192" s="38"/>
      <c r="G192" s="38"/>
      <c r="H192" s="38"/>
      <c r="I192" s="38" t="s">
        <v>9</v>
      </c>
      <c r="J192" s="38"/>
      <c r="K192" s="167" t="s">
        <v>24</v>
      </c>
      <c r="L192" s="168" t="s">
        <v>27</v>
      </c>
      <c r="M192" s="212" t="s">
        <v>778</v>
      </c>
      <c r="N192" s="167" t="s">
        <v>648</v>
      </c>
      <c r="O192" s="167">
        <v>0.5</v>
      </c>
      <c r="P192" s="161"/>
      <c r="Q192" s="172"/>
      <c r="R192" s="172" t="s">
        <v>103</v>
      </c>
      <c r="S192" s="172"/>
      <c r="T192" s="167"/>
      <c r="U192" s="167"/>
      <c r="V192" s="167"/>
      <c r="W192" s="15"/>
      <c r="X192" s="161"/>
      <c r="Y192" s="167" t="s">
        <v>781</v>
      </c>
      <c r="Z192" s="59" t="str">
        <f>IF(OR($M192="",NOT($O192="{array}")),"",IFERROR(MATCH(PARAMETERS!$M192,DEFAULT!$B$5:$BZ$5,0),""))</f>
        <v/>
      </c>
      <c r="AA192" s="56" t="str">
        <f t="shared" si="12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IF($AA192="","",IF($B192="I",VLOOKUP($AA192,#REF!,53,0),INDEX(VALUES!$B$1:$AO$1,1,$AA192)))</f>
        <v/>
      </c>
    </row>
    <row r="193" spans="1:29" hidden="1" outlineLevel="1" x14ac:dyDescent="0.3">
      <c r="A193" s="22" t="s">
        <v>83</v>
      </c>
      <c r="B193" s="41"/>
      <c r="C193" s="42"/>
      <c r="D193" s="38"/>
      <c r="E193" s="38"/>
      <c r="F193" s="38"/>
      <c r="G193" s="38"/>
      <c r="H193" s="38"/>
      <c r="I193" s="38" t="s">
        <v>9</v>
      </c>
      <c r="J193" s="38"/>
      <c r="K193" s="167" t="s">
        <v>24</v>
      </c>
      <c r="L193" s="168" t="s">
        <v>27</v>
      </c>
      <c r="M193" s="212" t="s">
        <v>779</v>
      </c>
      <c r="N193" s="167" t="s">
        <v>780</v>
      </c>
      <c r="O193" s="167">
        <v>0.5</v>
      </c>
      <c r="P193" s="161"/>
      <c r="Q193" s="172"/>
      <c r="R193" s="172" t="s">
        <v>103</v>
      </c>
      <c r="S193" s="172"/>
      <c r="T193" s="167"/>
      <c r="U193" s="167"/>
      <c r="V193" s="167"/>
      <c r="W193" s="15"/>
      <c r="X193" s="161"/>
      <c r="Y193" s="167" t="s">
        <v>782</v>
      </c>
      <c r="Z193" s="59" t="str">
        <f>IF(OR($M193="",NOT($O193="{array}")),"",IFERROR(MATCH(PARAMETERS!$M193,DEFAULT!$B$5:$BZ$5,0),""))</f>
        <v/>
      </c>
      <c r="AA193" s="56" t="str">
        <f t="shared" si="12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IF($AA193="","",IF($B193="I",VLOOKUP($AA193,#REF!,53,0),INDEX(VALUES!$B$1:$AO$1,1,$AA193)))</f>
        <v/>
      </c>
    </row>
    <row r="194" spans="1:29" hidden="1" outlineLevel="1" x14ac:dyDescent="0.25">
      <c r="A194" s="22" t="s">
        <v>83</v>
      </c>
      <c r="B194" s="41" t="str">
        <f t="shared" ref="B194:B204" si="14">IF($A194="P",IF(NOT($Z194=""),"A",IF(NOT($AA194=""),"I","")),IF(NOT($AA194=""),IF($A194="G","V","X"),IF(NOT($Z194=""),"A","")))</f>
        <v/>
      </c>
      <c r="C194" s="42">
        <f>(ROW()-1)</f>
        <v>193</v>
      </c>
      <c r="D194" s="38"/>
      <c r="E194" s="38"/>
      <c r="F194" s="38"/>
      <c r="G194" s="38"/>
      <c r="H194" s="38"/>
      <c r="I194" s="38" t="s">
        <v>9</v>
      </c>
      <c r="J194" s="38"/>
      <c r="K194" s="14" t="s">
        <v>24</v>
      </c>
      <c r="L194" s="14" t="s">
        <v>27</v>
      </c>
      <c r="M194" s="181" t="s">
        <v>833</v>
      </c>
      <c r="N194" s="53" t="s">
        <v>834</v>
      </c>
      <c r="O194" s="149">
        <v>8.0000000000000002E-3</v>
      </c>
      <c r="P194" s="53"/>
      <c r="Q194" s="197" t="s">
        <v>9</v>
      </c>
      <c r="R194" s="38" t="s">
        <v>197</v>
      </c>
      <c r="S194" s="172"/>
      <c r="T194" s="167"/>
      <c r="U194" s="167"/>
      <c r="V194" s="167"/>
      <c r="W194" s="15"/>
      <c r="X194" s="161"/>
      <c r="Y194" s="167" t="s">
        <v>782</v>
      </c>
      <c r="Z194" s="59" t="str">
        <f>IF(OR($M194="",NOT($O194="{array}")),"",IFERROR(MATCH(PARAMETERS!$M194,DEFAULT!$B$5:$BZ$5,0),""))</f>
        <v/>
      </c>
      <c r="AA194" s="56" t="str">
        <f t="shared" si="12"/>
        <v/>
      </c>
      <c r="AC194" s="17"/>
    </row>
    <row r="195" spans="1:29" hidden="1" outlineLevel="1" x14ac:dyDescent="0.25">
      <c r="A195" s="22" t="s">
        <v>83</v>
      </c>
      <c r="B195" s="41" t="str">
        <f t="shared" si="14"/>
        <v/>
      </c>
      <c r="C195" s="42">
        <f>(ROW()-1)</f>
        <v>194</v>
      </c>
      <c r="D195" s="38"/>
      <c r="E195" s="38"/>
      <c r="F195" s="38"/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181" t="s">
        <v>835</v>
      </c>
      <c r="N195" s="53" t="s">
        <v>836</v>
      </c>
      <c r="O195" s="149">
        <v>8.0000000000000002E-3</v>
      </c>
      <c r="P195" s="53"/>
      <c r="Q195" s="197" t="s">
        <v>9</v>
      </c>
      <c r="R195" s="38" t="s">
        <v>197</v>
      </c>
      <c r="S195" s="172"/>
      <c r="T195" s="167"/>
      <c r="U195" s="167"/>
      <c r="V195" s="167"/>
      <c r="W195" s="15"/>
      <c r="X195" s="161"/>
      <c r="Y195" s="167" t="s">
        <v>782</v>
      </c>
      <c r="Z195" s="59" t="str">
        <f>IF(OR($M195="",NOT($O195="{array}")),"",IFERROR(MATCH(PARAMETERS!$M195,DEFAULT!$B$5:$BZ$5,0),""))</f>
        <v/>
      </c>
      <c r="AA195" s="56" t="str">
        <f t="shared" si="12"/>
        <v/>
      </c>
      <c r="AC195" s="17"/>
    </row>
    <row r="196" spans="1:29" hidden="1" outlineLevel="1" x14ac:dyDescent="0.25">
      <c r="A196" s="22" t="s">
        <v>83</v>
      </c>
      <c r="B196" s="41" t="str">
        <f t="shared" si="14"/>
        <v>V</v>
      </c>
      <c r="C196" s="42">
        <f>(ROW()-1)</f>
        <v>195</v>
      </c>
      <c r="D196" s="38"/>
      <c r="E196" s="38"/>
      <c r="F196" s="38"/>
      <c r="G196" s="38"/>
      <c r="H196" s="38"/>
      <c r="I196" s="38" t="s">
        <v>9</v>
      </c>
      <c r="J196" s="38"/>
      <c r="K196" s="14" t="s">
        <v>18</v>
      </c>
      <c r="L196" s="14" t="s">
        <v>27</v>
      </c>
      <c r="M196" s="181" t="s">
        <v>940</v>
      </c>
      <c r="N196" s="53" t="s">
        <v>941</v>
      </c>
      <c r="O196" s="149" t="s">
        <v>33</v>
      </c>
      <c r="P196" s="53"/>
      <c r="Q196" s="197"/>
      <c r="R196" s="38" t="s">
        <v>197</v>
      </c>
      <c r="S196" s="172"/>
      <c r="T196" s="167"/>
      <c r="U196" s="167"/>
      <c r="V196" s="167"/>
      <c r="W196" s="15"/>
      <c r="X196" s="161"/>
      <c r="Y196" s="167"/>
      <c r="Z196" s="59">
        <f>IF(OR($M196="",NOT($O196="{array}")),"",IFERROR(MATCH(PARAMETERS!$M196,DEFAULT!$B$5:$BZ$5,0),""))</f>
        <v>20</v>
      </c>
      <c r="AA196" s="56">
        <f t="shared" si="12"/>
        <v>20</v>
      </c>
      <c r="AC196" s="17"/>
    </row>
    <row r="197" spans="1:29" collapsed="1" x14ac:dyDescent="0.3">
      <c r="A197" s="22" t="s">
        <v>83</v>
      </c>
      <c r="B197" s="41" t="str">
        <f t="shared" si="14"/>
        <v/>
      </c>
      <c r="C197" s="42">
        <f t="shared" si="11"/>
        <v>196</v>
      </c>
      <c r="D197" s="38"/>
      <c r="E197" s="38"/>
      <c r="F197" s="38" t="s">
        <v>9</v>
      </c>
      <c r="G197" s="38"/>
      <c r="H197" s="38"/>
      <c r="I197" s="38"/>
      <c r="J197" s="38"/>
      <c r="K197" s="14" t="s">
        <v>57</v>
      </c>
      <c r="L197" s="14" t="s">
        <v>38</v>
      </c>
      <c r="M197" s="213" t="s">
        <v>664</v>
      </c>
      <c r="N197" s="41" t="s">
        <v>464</v>
      </c>
      <c r="R197" s="38" t="s">
        <v>103</v>
      </c>
      <c r="S197" s="38"/>
      <c r="T197" s="38"/>
      <c r="W197" s="15" t="s">
        <v>309</v>
      </c>
      <c r="Z197" s="59" t="str">
        <f>IF(OR($M197="",NOT($O197="{array}")),"",IFERROR(MATCH(PARAMETERS!$M197,DEFAULT!$B$5:$BZ$5,0),""))</f>
        <v/>
      </c>
      <c r="AA197" s="56" t="str">
        <f t="shared" si="12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IF($AA197="","",IF($B197="I",VLOOKUP($AA197,#REF!,53,0),INDEX(VALUES!$B$1:$AO$1,1,$AA197)))</f>
        <v/>
      </c>
    </row>
    <row r="198" spans="1:29" hidden="1" outlineLevel="1" x14ac:dyDescent="0.3">
      <c r="A198" s="22" t="s">
        <v>83</v>
      </c>
      <c r="B198" s="41" t="str">
        <f t="shared" si="14"/>
        <v/>
      </c>
      <c r="C198" s="42">
        <f t="shared" si="11"/>
        <v>197</v>
      </c>
      <c r="D198" s="38"/>
      <c r="E198" s="38"/>
      <c r="F198" s="38" t="s">
        <v>9</v>
      </c>
      <c r="G198" s="38" t="s">
        <v>9</v>
      </c>
      <c r="H198" s="38" t="s">
        <v>9</v>
      </c>
      <c r="I198" s="38" t="s">
        <v>9</v>
      </c>
      <c r="J198" s="38"/>
      <c r="K198" s="14" t="s">
        <v>47</v>
      </c>
      <c r="L198" s="14" t="s">
        <v>27</v>
      </c>
      <c r="M198" s="211" t="s">
        <v>665</v>
      </c>
      <c r="N198" s="14" t="s">
        <v>666</v>
      </c>
      <c r="O198" s="43">
        <v>0</v>
      </c>
      <c r="R198" s="38" t="s">
        <v>103</v>
      </c>
      <c r="S198" s="38"/>
      <c r="T198" s="38"/>
      <c r="W198" s="15" t="s">
        <v>103</v>
      </c>
      <c r="Y198" s="14" t="s">
        <v>666</v>
      </c>
      <c r="Z198" s="59" t="str">
        <f>IF(OR($M198="",NOT($O198="{array}")),"",IFERROR(MATCH(PARAMETERS!$M198,DEFAULT!$B$5:$BZ$5,0),""))</f>
        <v/>
      </c>
      <c r="AA198" s="56" t="str">
        <f t="shared" si="12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IF($AA198="","",IF($B198="I",VLOOKUP($AA198,#REF!,53,0),INDEX(VALUES!$B$1:$AO$1,1,$AA198)))</f>
        <v/>
      </c>
    </row>
    <row r="199" spans="1:29" hidden="1" outlineLevel="1" x14ac:dyDescent="0.3">
      <c r="A199" s="22" t="s">
        <v>83</v>
      </c>
      <c r="B199" s="41" t="str">
        <f t="shared" si="14"/>
        <v/>
      </c>
      <c r="C199" s="42">
        <f t="shared" si="11"/>
        <v>198</v>
      </c>
      <c r="D199" s="38"/>
      <c r="E199" s="38"/>
      <c r="F199" s="38"/>
      <c r="G199" s="38" t="s">
        <v>9</v>
      </c>
      <c r="H199" s="38"/>
      <c r="I199" s="38" t="s">
        <v>9</v>
      </c>
      <c r="J199" s="38"/>
      <c r="K199" s="14" t="s">
        <v>24</v>
      </c>
      <c r="L199" s="14" t="s">
        <v>27</v>
      </c>
      <c r="M199" s="211" t="s">
        <v>667</v>
      </c>
      <c r="N199" s="14" t="s">
        <v>668</v>
      </c>
      <c r="O199" s="43">
        <v>0</v>
      </c>
      <c r="R199" s="38" t="s">
        <v>103</v>
      </c>
      <c r="S199" s="38"/>
      <c r="T199" s="38"/>
      <c r="W199" s="15" t="s">
        <v>103</v>
      </c>
      <c r="Y199" s="14" t="s">
        <v>668</v>
      </c>
      <c r="Z199" s="59" t="str">
        <f>IF(OR($M199="",NOT($O199="{array}")),"",IFERROR(MATCH(PARAMETERS!$M199,DEFAULT!$B$5:$BZ$5,0),""))</f>
        <v/>
      </c>
      <c r="AA199" s="56" t="str">
        <f t="shared" si="12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IF($AA199="","",IF($B199="I",VLOOKUP($AA199,#REF!,53,0),INDEX(VALUES!$B$1:$AO$1,1,$AA199)))</f>
        <v/>
      </c>
    </row>
    <row r="200" spans="1:29" hidden="1" outlineLevel="1" x14ac:dyDescent="0.3">
      <c r="A200" s="22" t="s">
        <v>83</v>
      </c>
      <c r="B200" s="41" t="str">
        <f t="shared" si="14"/>
        <v/>
      </c>
      <c r="C200" s="42">
        <f t="shared" si="11"/>
        <v>199</v>
      </c>
      <c r="D200" s="38"/>
      <c r="E200" s="38"/>
      <c r="F200" s="38"/>
      <c r="G200" s="38"/>
      <c r="H200" s="38"/>
      <c r="I200" s="38" t="s">
        <v>9</v>
      </c>
      <c r="J200" s="38"/>
      <c r="K200" s="160" t="s">
        <v>44</v>
      </c>
      <c r="L200" s="168" t="s">
        <v>21</v>
      </c>
      <c r="M200" s="203" t="s">
        <v>669</v>
      </c>
      <c r="N200" s="160" t="s">
        <v>670</v>
      </c>
      <c r="O200" s="160">
        <v>0</v>
      </c>
      <c r="P200" s="161" t="s">
        <v>309</v>
      </c>
      <c r="Q200" s="172"/>
      <c r="R200" s="172" t="s">
        <v>102</v>
      </c>
      <c r="S200" s="172" t="s">
        <v>111</v>
      </c>
      <c r="T200" s="171" t="s">
        <v>309</v>
      </c>
      <c r="U200" s="167" t="s">
        <v>309</v>
      </c>
      <c r="V200" s="167" t="s">
        <v>671</v>
      </c>
      <c r="W200" s="15" t="s">
        <v>309</v>
      </c>
      <c r="X200" s="161" t="s">
        <v>309</v>
      </c>
      <c r="Y200" s="167" t="s">
        <v>672</v>
      </c>
      <c r="Z200" s="59" t="str">
        <f>IF(OR($M200="",NOT($O200="{array}")),"",IFERROR(MATCH(PARAMETERS!$M200,DEFAULT!$B$5:$BZ$5,0),""))</f>
        <v/>
      </c>
      <c r="AA200" s="56" t="str">
        <f t="shared" si="12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IF($AA200="","",IF($B200="I",VLOOKUP($AA200,#REF!,53,0),INDEX(VALUES!$B$1:$AO$1,1,$AA200)))</f>
        <v/>
      </c>
    </row>
    <row r="201" spans="1:29" hidden="1" outlineLevel="1" x14ac:dyDescent="0.3">
      <c r="A201" s="22" t="s">
        <v>83</v>
      </c>
      <c r="B201" s="41" t="str">
        <f t="shared" si="14"/>
        <v/>
      </c>
      <c r="C201" s="42">
        <f t="shared" si="11"/>
        <v>200</v>
      </c>
      <c r="D201" s="38"/>
      <c r="E201" s="38"/>
      <c r="F201" s="38" t="s">
        <v>9</v>
      </c>
      <c r="G201" s="38"/>
      <c r="H201" s="38"/>
      <c r="I201" s="38" t="s">
        <v>9</v>
      </c>
      <c r="J201" s="38"/>
      <c r="K201" s="14" t="s">
        <v>24</v>
      </c>
      <c r="L201" s="14" t="s">
        <v>27</v>
      </c>
      <c r="M201" s="211" t="s">
        <v>673</v>
      </c>
      <c r="N201" s="14" t="s">
        <v>674</v>
      </c>
      <c r="O201" s="43">
        <v>0.5</v>
      </c>
      <c r="R201" s="38" t="s">
        <v>103</v>
      </c>
      <c r="S201" s="38"/>
      <c r="T201" s="38"/>
      <c r="W201" s="15" t="s">
        <v>103</v>
      </c>
      <c r="Y201" s="14" t="s">
        <v>674</v>
      </c>
      <c r="Z201" s="59" t="str">
        <f>IF(OR($M201="",NOT($O201="{array}")),"",IFERROR(MATCH(PARAMETERS!$M201,DEFAULT!$B$5:$BZ$5,0),""))</f>
        <v/>
      </c>
      <c r="AA201" s="56" t="str">
        <f t="shared" si="12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IF($AA201="","",IF($B201="I",VLOOKUP($AA201,#REF!,53,0),INDEX(VALUES!$B$1:$AO$1,1,$AA201)))</f>
        <v/>
      </c>
    </row>
    <row r="202" spans="1:29" hidden="1" outlineLevel="1" x14ac:dyDescent="0.3">
      <c r="A202" s="22"/>
      <c r="B202" s="41" t="str">
        <f t="shared" si="14"/>
        <v/>
      </c>
      <c r="C202" s="42">
        <f t="shared" si="11"/>
        <v>201</v>
      </c>
      <c r="D202" s="38"/>
      <c r="E202" s="38"/>
      <c r="F202" s="38"/>
      <c r="G202" s="38"/>
      <c r="H202" s="38"/>
      <c r="I202" s="38"/>
      <c r="J202" s="38"/>
      <c r="K202" s="167" t="s">
        <v>18</v>
      </c>
      <c r="L202" s="168" t="s">
        <v>21</v>
      </c>
      <c r="M202" s="212" t="s">
        <v>675</v>
      </c>
      <c r="N202" s="167" t="s">
        <v>309</v>
      </c>
      <c r="O202" s="167" t="s">
        <v>309</v>
      </c>
      <c r="P202" s="161" t="s">
        <v>309</v>
      </c>
      <c r="Q202" s="172" t="s">
        <v>9</v>
      </c>
      <c r="R202" s="172" t="s">
        <v>102</v>
      </c>
      <c r="S202" s="172" t="s">
        <v>111</v>
      </c>
      <c r="T202" s="167" t="s">
        <v>309</v>
      </c>
      <c r="U202" s="167" t="s">
        <v>309</v>
      </c>
      <c r="V202" s="167" t="s">
        <v>675</v>
      </c>
      <c r="W202" s="15" t="s">
        <v>309</v>
      </c>
      <c r="X202" s="161" t="s">
        <v>309</v>
      </c>
      <c r="Y202" s="167" t="s">
        <v>309</v>
      </c>
      <c r="Z202" s="59" t="str">
        <f>IF(OR($M202="",NOT($O202="{array}")),"",IFERROR(MATCH(PARAMETERS!$M202,DEFAULT!$B$5:$BZ$5,0),""))</f>
        <v/>
      </c>
      <c r="AA202" s="56" t="str">
        <f t="shared" si="12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IF($AA202="","",IF($B202="I",VLOOKUP($AA202,#REF!,53,0),INDEX(VALUES!$B$1:$AO$1,1,$AA202)))</f>
        <v/>
      </c>
    </row>
    <row r="203" spans="1:29" hidden="1" outlineLevel="1" x14ac:dyDescent="0.3">
      <c r="A203" s="22"/>
      <c r="B203" s="41" t="str">
        <f t="shared" si="14"/>
        <v/>
      </c>
      <c r="C203" s="42">
        <f t="shared" si="11"/>
        <v>202</v>
      </c>
      <c r="D203" s="38"/>
      <c r="E203" s="38"/>
      <c r="F203" s="38"/>
      <c r="G203" s="38"/>
      <c r="H203" s="38"/>
      <c r="I203" s="38"/>
      <c r="J203" s="38"/>
      <c r="K203" s="167" t="s">
        <v>18</v>
      </c>
      <c r="L203" s="168" t="s">
        <v>21</v>
      </c>
      <c r="M203" s="212" t="s">
        <v>676</v>
      </c>
      <c r="N203" s="167" t="s">
        <v>309</v>
      </c>
      <c r="O203" s="167" t="s">
        <v>309</v>
      </c>
      <c r="P203" s="161" t="s">
        <v>309</v>
      </c>
      <c r="Q203" s="172" t="s">
        <v>9</v>
      </c>
      <c r="R203" s="172" t="s">
        <v>102</v>
      </c>
      <c r="S203" s="172" t="s">
        <v>111</v>
      </c>
      <c r="T203" s="167" t="s">
        <v>309</v>
      </c>
      <c r="U203" s="167" t="s">
        <v>309</v>
      </c>
      <c r="V203" s="167" t="s">
        <v>676</v>
      </c>
      <c r="W203" s="15" t="s">
        <v>309</v>
      </c>
      <c r="X203" s="161" t="s">
        <v>309</v>
      </c>
      <c r="Y203" s="167" t="s">
        <v>309</v>
      </c>
      <c r="Z203" s="59" t="str">
        <f>IF(OR($M203="",NOT($O203="{array}")),"",IFERROR(MATCH(PARAMETERS!$M203,DEFAULT!$B$5:$BZ$5,0),""))</f>
        <v/>
      </c>
      <c r="AA203" s="56" t="str">
        <f t="shared" si="12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IF($AA203="","",IF($B203="I",VLOOKUP($AA203,#REF!,53,0),INDEX(VALUES!$B$1:$AO$1,1,$AA203)))</f>
        <v/>
      </c>
    </row>
    <row r="204" spans="1:29" hidden="1" outlineLevel="1" x14ac:dyDescent="0.3">
      <c r="A204" s="22" t="s">
        <v>83</v>
      </c>
      <c r="B204" s="41" t="str">
        <f t="shared" si="14"/>
        <v/>
      </c>
      <c r="C204" s="42">
        <f>(ROW()-1)</f>
        <v>203</v>
      </c>
      <c r="D204" s="38"/>
      <c r="E204" s="38"/>
      <c r="F204" s="38" t="s">
        <v>9</v>
      </c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81" t="s">
        <v>837</v>
      </c>
      <c r="N204" s="14" t="s">
        <v>838</v>
      </c>
      <c r="O204" s="43">
        <v>8.0000000000000002E-3</v>
      </c>
      <c r="R204" s="38" t="s">
        <v>197</v>
      </c>
      <c r="S204" s="38"/>
      <c r="T204" s="38"/>
      <c r="Z204" s="59" t="str">
        <f>IF(OR($M204="",NOT($O204="{array}")),"",IFERROR(MATCH(PARAMETERS!$M204,DEFAULT!$B$5:$BZ$5,0),""))</f>
        <v/>
      </c>
      <c r="AA204" s="56" t="str">
        <f t="shared" si="12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IF($AA204="","",IF($B204="I",VLOOKUP($AA204,#REF!,53,0),INDEX(VALUES!$B$1:$AO$1,1,$AA204)))</f>
        <v/>
      </c>
    </row>
    <row r="205" spans="1:29" collapsed="1" x14ac:dyDescent="0.3">
      <c r="A205" s="22" t="s">
        <v>83</v>
      </c>
      <c r="B205" s="41" t="str">
        <f t="shared" ref="B205:B211" si="15">IF($A205="P",IF(NOT($Z205=""),"A",IF(NOT($AA205=""),"I","")),IF(NOT($AA205=""),IF($A205="G","V","X"),IF(NOT($Z205=""),"A","")))</f>
        <v/>
      </c>
      <c r="C205" s="42">
        <f t="shared" ref="C205:C211" si="16">(ROW()-1)</f>
        <v>204</v>
      </c>
      <c r="D205" s="38"/>
      <c r="E205" s="38"/>
      <c r="F205" s="38" t="s">
        <v>9</v>
      </c>
      <c r="G205" s="38"/>
      <c r="H205" s="38"/>
      <c r="I205" s="38"/>
      <c r="J205" s="38"/>
      <c r="K205" s="14" t="s">
        <v>57</v>
      </c>
      <c r="L205" s="14" t="s">
        <v>38</v>
      </c>
      <c r="M205" s="213" t="s">
        <v>858</v>
      </c>
      <c r="N205" s="41" t="s">
        <v>859</v>
      </c>
      <c r="R205" s="38" t="s">
        <v>103</v>
      </c>
      <c r="S205" s="38"/>
      <c r="T205" s="38"/>
      <c r="W205" s="15" t="s">
        <v>103</v>
      </c>
      <c r="Z205" s="59" t="str">
        <f>IF(OR($M205="",NOT($O205="{array}")),"",IFERROR(MATCH(PARAMETERS!$M205,DEFAULT!$B$5:$BZ$5,0),""))</f>
        <v/>
      </c>
      <c r="AA205" s="56" t="str">
        <f t="shared" si="12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IF($AA205="","",IF($B205="I",VLOOKUP($AA205,#REF!,53,0),INDEX(VALUES!$B$1:$AO$1,1,$AA205)))</f>
        <v/>
      </c>
    </row>
    <row r="206" spans="1:29" hidden="1" outlineLevel="1" x14ac:dyDescent="0.25">
      <c r="A206" s="22" t="s">
        <v>83</v>
      </c>
      <c r="B206" s="41" t="str">
        <f t="shared" si="15"/>
        <v/>
      </c>
      <c r="C206" s="42">
        <f t="shared" si="16"/>
        <v>205</v>
      </c>
      <c r="D206" s="38"/>
      <c r="E206" s="38"/>
      <c r="F206" s="38"/>
      <c r="G206" s="38"/>
      <c r="H206" s="38"/>
      <c r="I206" s="38" t="s">
        <v>9</v>
      </c>
      <c r="J206" s="38"/>
      <c r="K206" s="53" t="s">
        <v>18</v>
      </c>
      <c r="L206" s="53" t="s">
        <v>32</v>
      </c>
      <c r="M206" s="181" t="s">
        <v>985</v>
      </c>
      <c r="N206" s="53" t="s">
        <v>859</v>
      </c>
      <c r="O206" s="149" t="s">
        <v>986</v>
      </c>
      <c r="R206" s="172" t="s">
        <v>102</v>
      </c>
      <c r="S206" s="172" t="s">
        <v>111</v>
      </c>
      <c r="T206" s="167" t="s">
        <v>309</v>
      </c>
      <c r="U206" s="167" t="s">
        <v>309</v>
      </c>
      <c r="V206" s="167" t="s">
        <v>987</v>
      </c>
      <c r="W206" s="15" t="str">
        <f>IF(IFERROR(VLOOKUP($N209,#REF!,1,0),"-")="-","","GS")</f>
        <v/>
      </c>
      <c r="X206" s="161" t="s">
        <v>309</v>
      </c>
      <c r="Y206" s="167" t="s">
        <v>988</v>
      </c>
      <c r="Z206" s="59" t="str">
        <f>IF(OR($M206="",NOT($O206="{array}")),"",IFERROR(MATCH(PARAMETERS!$M206,DEFAULT!$B$5:$BZ$5,0),""))</f>
        <v/>
      </c>
      <c r="AA206" s="56" t="str">
        <f t="shared" si="12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IF($AA206="","",IF($B206="I",VLOOKUP($AA206,#REF!,53,0),INDEX(VALUES!$B$1:$AO$1,1,$AA206)))</f>
        <v/>
      </c>
    </row>
    <row r="207" spans="1:29" hidden="1" outlineLevel="1" x14ac:dyDescent="0.3">
      <c r="A207" s="22" t="s">
        <v>83</v>
      </c>
      <c r="B207" s="41" t="str">
        <f t="shared" si="15"/>
        <v/>
      </c>
      <c r="C207" s="42">
        <f t="shared" si="16"/>
        <v>206</v>
      </c>
      <c r="D207" s="38"/>
      <c r="E207" s="38"/>
      <c r="F207" s="38"/>
      <c r="G207" s="38"/>
      <c r="H207" s="38"/>
      <c r="I207" s="38" t="s">
        <v>9</v>
      </c>
      <c r="J207" s="38"/>
      <c r="K207" s="167" t="s">
        <v>18</v>
      </c>
      <c r="L207" s="168" t="s">
        <v>32</v>
      </c>
      <c r="M207" s="203" t="s">
        <v>981</v>
      </c>
      <c r="N207" s="167" t="s">
        <v>982</v>
      </c>
      <c r="O207" s="167" t="s">
        <v>983</v>
      </c>
      <c r="P207" s="161" t="s">
        <v>309</v>
      </c>
      <c r="Q207" s="172"/>
      <c r="R207" s="172" t="s">
        <v>102</v>
      </c>
      <c r="S207" s="172" t="s">
        <v>111</v>
      </c>
      <c r="T207" s="167" t="s">
        <v>101</v>
      </c>
      <c r="U207" s="167" t="s">
        <v>309</v>
      </c>
      <c r="V207" s="167" t="s">
        <v>982</v>
      </c>
      <c r="W207" s="15" t="str">
        <f>IF(IFERROR(VLOOKUP($M207,#REF!,1,0),"-")="-","","GS")</f>
        <v/>
      </c>
      <c r="X207" s="161" t="s">
        <v>309</v>
      </c>
      <c r="Y207" s="167" t="s">
        <v>984</v>
      </c>
      <c r="Z207" s="59" t="str">
        <f>IF(OR($M207="",NOT($O207="{array}")),"",IFERROR(MATCH(PARAMETERS!$M207,DEFAULT!$B$5:$BZ$5,0),""))</f>
        <v/>
      </c>
      <c r="AA207" s="56" t="str">
        <f t="shared" si="12"/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IF($AA207="","",IF($B207="I",VLOOKUP($AA207,#REF!,53,0),INDEX(VALUES!$B$1:$AO$1,1,$AA207)))</f>
        <v/>
      </c>
    </row>
    <row r="208" spans="1:29" hidden="1" outlineLevel="1" x14ac:dyDescent="0.25">
      <c r="A208" s="22" t="s">
        <v>83</v>
      </c>
      <c r="B208" s="41" t="str">
        <f t="shared" si="15"/>
        <v/>
      </c>
      <c r="C208" s="42">
        <f t="shared" si="16"/>
        <v>207</v>
      </c>
      <c r="D208" s="38"/>
      <c r="E208" s="38"/>
      <c r="F208" s="38" t="s">
        <v>9</v>
      </c>
      <c r="G208" s="38"/>
      <c r="H208" s="38"/>
      <c r="I208" s="38" t="s">
        <v>9</v>
      </c>
      <c r="J208" s="38"/>
      <c r="K208" s="160" t="s">
        <v>44</v>
      </c>
      <c r="L208" s="53" t="s">
        <v>27</v>
      </c>
      <c r="M208" s="181" t="s">
        <v>860</v>
      </c>
      <c r="N208" s="53" t="s">
        <v>861</v>
      </c>
      <c r="O208" s="149">
        <v>0</v>
      </c>
      <c r="P208" s="53"/>
      <c r="Q208" s="197"/>
      <c r="R208" s="177" t="s">
        <v>102</v>
      </c>
      <c r="S208" s="38"/>
      <c r="T208" s="38"/>
      <c r="W208" s="15" t="s">
        <v>309</v>
      </c>
      <c r="Y208" s="14" t="s">
        <v>666</v>
      </c>
      <c r="Z208" s="59" t="str">
        <f>IF(OR($M208="",NOT($O208="{array}")),"",IFERROR(MATCH(PARAMETERS!$M208,DEFAULT!$B$5:$BZ$5,0),""))</f>
        <v/>
      </c>
      <c r="AA208" s="56" t="str">
        <f t="shared" si="12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IF($AA208="","",IF($B208="I",VLOOKUP($AA208,#REF!,53,0),INDEX(VALUES!$B$1:$AO$1,1,$AA208)))</f>
        <v/>
      </c>
    </row>
    <row r="209" spans="1:29" hidden="1" outlineLevel="1" x14ac:dyDescent="0.3">
      <c r="A209" s="22" t="s">
        <v>83</v>
      </c>
      <c r="B209" s="41" t="str">
        <f t="shared" si="15"/>
        <v/>
      </c>
      <c r="C209" s="42">
        <f t="shared" si="16"/>
        <v>208</v>
      </c>
      <c r="D209" s="38"/>
      <c r="E209" s="38"/>
      <c r="F209" s="38" t="s">
        <v>9</v>
      </c>
      <c r="G209" s="38"/>
      <c r="H209" s="38"/>
      <c r="I209" s="38" t="s">
        <v>9</v>
      </c>
      <c r="J209" s="38"/>
      <c r="K209" s="14" t="s">
        <v>24</v>
      </c>
      <c r="L209" s="14" t="s">
        <v>27</v>
      </c>
      <c r="M209" s="211" t="s">
        <v>771</v>
      </c>
      <c r="N209" s="14" t="s">
        <v>862</v>
      </c>
      <c r="O209" s="43">
        <v>0.04</v>
      </c>
      <c r="Q209" s="38" t="s">
        <v>9</v>
      </c>
      <c r="R209" s="38" t="s">
        <v>103</v>
      </c>
      <c r="S209" s="38"/>
      <c r="T209" s="38"/>
      <c r="W209" s="15" t="s">
        <v>103</v>
      </c>
      <c r="Y209" s="14" t="s">
        <v>666</v>
      </c>
      <c r="Z209" s="59" t="str">
        <f>IF(OR($M209="",NOT($O209="{array}")),"",IFERROR(MATCH(PARAMETERS!$M209,DEFAULT!$B$5:$BZ$5,0),""))</f>
        <v/>
      </c>
      <c r="AA209" s="56" t="str">
        <f t="shared" si="12"/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IF($AA209="","",IF($B209="I",VLOOKUP($AA209,#REF!,53,0),INDEX(VALUES!$B$1:$AO$1,1,$AA209)))</f>
        <v/>
      </c>
    </row>
    <row r="210" spans="1:29" hidden="1" outlineLevel="1" x14ac:dyDescent="0.3">
      <c r="A210" s="22" t="s">
        <v>83</v>
      </c>
      <c r="B210" s="41" t="str">
        <f t="shared" si="15"/>
        <v/>
      </c>
      <c r="C210" s="42">
        <f t="shared" si="16"/>
        <v>209</v>
      </c>
      <c r="D210" s="38"/>
      <c r="E210" s="38"/>
      <c r="F210" s="38"/>
      <c r="G210" s="38"/>
      <c r="H210" s="38"/>
      <c r="I210" s="38" t="s">
        <v>9</v>
      </c>
      <c r="J210" s="38"/>
      <c r="K210" s="160" t="s">
        <v>24</v>
      </c>
      <c r="L210" s="14" t="s">
        <v>27</v>
      </c>
      <c r="M210" s="203" t="s">
        <v>863</v>
      </c>
      <c r="N210" s="160" t="s">
        <v>864</v>
      </c>
      <c r="O210" s="160">
        <v>0.02</v>
      </c>
      <c r="P210" s="176"/>
      <c r="Q210" s="177" t="s">
        <v>9</v>
      </c>
      <c r="R210" s="177" t="s">
        <v>102</v>
      </c>
      <c r="S210" s="38"/>
      <c r="T210" s="38"/>
      <c r="W210" s="15" t="s">
        <v>309</v>
      </c>
      <c r="Y210" s="14" t="s">
        <v>666</v>
      </c>
      <c r="Z210" s="59" t="str">
        <f>IF(OR($M210="",NOT($O210="{array}")),"",IFERROR(MATCH(PARAMETERS!$M210,DEFAULT!$B$5:$BZ$5,0),""))</f>
        <v/>
      </c>
      <c r="AA210" s="56" t="str">
        <f t="shared" si="12"/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IF($AA210="","",IF($B210="I",VLOOKUP($AA210,#REF!,53,0),INDEX(VALUES!$B$1:$AO$1,1,$AA210)))</f>
        <v/>
      </c>
    </row>
    <row r="211" spans="1:29" hidden="1" outlineLevel="1" x14ac:dyDescent="0.3">
      <c r="A211" s="22" t="s">
        <v>83</v>
      </c>
      <c r="B211" s="41" t="str">
        <f t="shared" si="15"/>
        <v/>
      </c>
      <c r="C211" s="42">
        <f t="shared" si="16"/>
        <v>210</v>
      </c>
      <c r="D211" s="38"/>
      <c r="E211" s="38"/>
      <c r="F211" s="38"/>
      <c r="G211" s="38"/>
      <c r="H211" s="38"/>
      <c r="I211" s="38" t="s">
        <v>9</v>
      </c>
      <c r="J211" s="38"/>
      <c r="K211" s="160" t="s">
        <v>24</v>
      </c>
      <c r="L211" s="14" t="s">
        <v>27</v>
      </c>
      <c r="M211" s="203" t="s">
        <v>865</v>
      </c>
      <c r="N211" s="160" t="s">
        <v>866</v>
      </c>
      <c r="O211" s="160">
        <v>0.01</v>
      </c>
      <c r="P211" s="176"/>
      <c r="Q211" s="177" t="s">
        <v>9</v>
      </c>
      <c r="R211" s="177" t="s">
        <v>102</v>
      </c>
      <c r="S211" s="38"/>
      <c r="T211" s="38"/>
      <c r="W211" s="15" t="s">
        <v>309</v>
      </c>
      <c r="Y211" s="14" t="s">
        <v>666</v>
      </c>
      <c r="Z211" s="59" t="str">
        <f>IF(OR($M211="",NOT($O211="{array}")),"",IFERROR(MATCH(PARAMETERS!$M211,DEFAULT!$B$5:$BZ$5,0),""))</f>
        <v/>
      </c>
      <c r="AA211" s="56" t="str">
        <f t="shared" si="12"/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IF($AA211="","",IF($B211="I",VLOOKUP($AA211,#REF!,53,0),INDEX(VALUES!$B$1:$AO$1,1,$AA211)))</f>
        <v/>
      </c>
    </row>
    <row r="212" spans="1:29" collapsed="1" x14ac:dyDescent="0.3">
      <c r="A212" s="22" t="s">
        <v>279</v>
      </c>
      <c r="B212" s="41"/>
      <c r="C212" s="42"/>
      <c r="D212" s="38"/>
      <c r="E212" s="38"/>
      <c r="F212" s="38"/>
      <c r="G212" s="38"/>
      <c r="H212" s="38"/>
      <c r="I212" s="38"/>
      <c r="J212" s="38"/>
      <c r="L212" s="146"/>
      <c r="R212" s="38"/>
      <c r="S212" s="38"/>
      <c r="T212" s="38"/>
      <c r="Z212" s="59" t="str">
        <f>IF(OR($M212="",NOT($O212="{array}")),"",IFERROR(MATCH(PARAMETERS!$M212,DEFAULT!$B$5:$BZ$5,0),""))</f>
        <v/>
      </c>
      <c r="AA212" s="56" t="str">
        <f t="shared" si="12"/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IF($AA212="","",IF($B212="I",VLOOKUP($AA212,#REF!,53,0),INDEX(VALUES!$B$1:$AO$1,1,$AA212)))</f>
        <v/>
      </c>
    </row>
    <row r="213" spans="1:29" x14ac:dyDescent="0.3">
      <c r="A213" s="22" t="s">
        <v>83</v>
      </c>
      <c r="B213" s="41" t="str">
        <f t="shared" ref="B213:B217" si="17">IF($A213="P",IF(NOT($Z213=""),"A",IF(NOT($AA213=""),"I","")),IF(NOT($AA213=""),IF($A213="G","V","X"),IF(NOT($Z213=""),"A","")))</f>
        <v/>
      </c>
      <c r="C213" s="150">
        <f>(ROW()-1)</f>
        <v>212</v>
      </c>
      <c r="D213" s="151"/>
      <c r="E213" s="151"/>
      <c r="F213" s="151"/>
      <c r="G213" s="151"/>
      <c r="H213" s="151"/>
      <c r="I213" s="151"/>
      <c r="J213" s="151"/>
      <c r="K213" s="152" t="s">
        <v>57</v>
      </c>
      <c r="L213" s="152" t="s">
        <v>38</v>
      </c>
      <c r="M213" s="153" t="s">
        <v>282</v>
      </c>
      <c r="N213" s="154" t="s">
        <v>283</v>
      </c>
      <c r="O213" s="155"/>
      <c r="P213" s="152"/>
      <c r="Q213" s="151"/>
      <c r="R213" s="151" t="s">
        <v>103</v>
      </c>
      <c r="S213" s="38"/>
      <c r="T213" s="38"/>
      <c r="Z213" s="59" t="str">
        <f>IF(OR($M213="",NOT($O213="{array}")),"",IFERROR(MATCH(PARAMETERS!$M213,DEFAULT!$B$5:$BZ$5,0),""))</f>
        <v/>
      </c>
      <c r="AA213" s="56" t="str">
        <f t="shared" si="12"/>
        <v/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IF($AA213="","",IF($B213="I",VLOOKUP($AA213,#REF!,53,0),INDEX(VALUES!$B$1:$AO$1,1,$AA213)))</f>
        <v/>
      </c>
    </row>
    <row r="214" spans="1:29" x14ac:dyDescent="0.3">
      <c r="A214" s="22" t="s">
        <v>83</v>
      </c>
      <c r="B214" s="41" t="str">
        <f t="shared" si="17"/>
        <v>A</v>
      </c>
      <c r="C214" s="150">
        <f>(ROW()-1)</f>
        <v>213</v>
      </c>
      <c r="D214" s="151"/>
      <c r="E214" s="151"/>
      <c r="F214" s="151"/>
      <c r="G214" s="151"/>
      <c r="H214" s="151"/>
      <c r="I214" s="151" t="s">
        <v>9</v>
      </c>
      <c r="J214" s="151" t="s">
        <v>9</v>
      </c>
      <c r="K214" s="152" t="s">
        <v>18</v>
      </c>
      <c r="L214" s="152" t="s">
        <v>27</v>
      </c>
      <c r="M214" s="158" t="s">
        <v>186</v>
      </c>
      <c r="N214" s="152" t="s">
        <v>284</v>
      </c>
      <c r="O214" s="155" t="s">
        <v>33</v>
      </c>
      <c r="P214" s="152"/>
      <c r="Q214" s="151"/>
      <c r="R214" s="151" t="s">
        <v>197</v>
      </c>
      <c r="S214" s="38"/>
      <c r="T214" s="38"/>
      <c r="Z214" s="59">
        <f>IF(OR($M214="",NOT($O214="{array}")),"",IFERROR(MATCH(PARAMETERS!$M214,DEFAULT!$B$5:$BZ$5,0),""))</f>
        <v>1</v>
      </c>
      <c r="AA214" s="56" t="str">
        <f t="shared" si="12"/>
        <v/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IF($AA214="","",IF($B214="I",VLOOKUP($AA214,#REF!,53,0),INDEX(VALUES!$B$1:$AO$1,1,$AA214)))</f>
        <v/>
      </c>
    </row>
    <row r="215" spans="1:29" x14ac:dyDescent="0.3">
      <c r="A215" s="22" t="s">
        <v>83</v>
      </c>
      <c r="B215" s="41" t="str">
        <f t="shared" si="17"/>
        <v>A</v>
      </c>
      <c r="C215" s="150">
        <f>(ROW()-1)</f>
        <v>214</v>
      </c>
      <c r="D215" s="151"/>
      <c r="E215" s="151"/>
      <c r="F215" s="151"/>
      <c r="G215" s="151"/>
      <c r="H215" s="151"/>
      <c r="I215" s="151" t="s">
        <v>9</v>
      </c>
      <c r="J215" s="151" t="s">
        <v>9</v>
      </c>
      <c r="K215" s="152" t="s">
        <v>24</v>
      </c>
      <c r="L215" s="152" t="s">
        <v>27</v>
      </c>
      <c r="M215" s="158" t="s">
        <v>191</v>
      </c>
      <c r="N215" s="152" t="s">
        <v>280</v>
      </c>
      <c r="O215" s="155" t="s">
        <v>33</v>
      </c>
      <c r="P215" s="152"/>
      <c r="Q215" s="151"/>
      <c r="R215" s="151" t="s">
        <v>197</v>
      </c>
      <c r="S215" s="38"/>
      <c r="T215" s="38"/>
      <c r="Z215" s="59">
        <f>IF(OR($M215="",NOT($O215="{array}")),"",IFERROR(MATCH(PARAMETERS!$M215,DEFAULT!$B$5:$BZ$5,0),""))</f>
        <v>3</v>
      </c>
      <c r="AA215" s="56" t="str">
        <f t="shared" ref="AA215:AA234" si="18">IF($M215="","",IFERROR(MATCH($M215,VALUESnames,0),""))</f>
        <v/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IF($AA215="","",IF($B215="I",VLOOKUP($AA215,#REF!,53,0),INDEX(VALUES!$B$1:$AO$1,1,$AA215)))</f>
        <v/>
      </c>
    </row>
    <row r="216" spans="1:29" x14ac:dyDescent="0.3">
      <c r="A216" s="22"/>
      <c r="B216" s="41" t="str">
        <f t="shared" si="17"/>
        <v/>
      </c>
      <c r="C216" s="150">
        <f>(ROW()-1)</f>
        <v>215</v>
      </c>
      <c r="D216" s="151"/>
      <c r="E216" s="151"/>
      <c r="F216" s="151"/>
      <c r="G216" s="151"/>
      <c r="H216" s="151"/>
      <c r="I216" s="151" t="s">
        <v>9</v>
      </c>
      <c r="J216" s="151"/>
      <c r="K216" s="152" t="s">
        <v>50</v>
      </c>
      <c r="L216" s="152" t="s">
        <v>38</v>
      </c>
      <c r="M216" s="158" t="s">
        <v>922</v>
      </c>
      <c r="N216" s="152" t="s">
        <v>923</v>
      </c>
      <c r="O216" s="155">
        <v>1</v>
      </c>
      <c r="P216" s="152"/>
      <c r="Q216" s="151"/>
      <c r="R216" s="151" t="s">
        <v>197</v>
      </c>
      <c r="S216" s="38"/>
      <c r="T216" s="38"/>
      <c r="Z216" s="59" t="str">
        <f>IF(OR($M216="",NOT($O216="{array}")),"",IFERROR(MATCH(PARAMETERS!$M216,DEFAULT!$B$5:$BZ$5,0),""))</f>
        <v/>
      </c>
      <c r="AA216" s="56" t="str">
        <f>IF($M216="","",IFERROR(MATCH($M216,VALUESnames,0),""))</f>
        <v/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IF($AA216="","",IF($B216="I",VLOOKUP($AA216,#REF!,53,0),INDEX(VALUES!$B$1:$AO$1,1,$AA216)))</f>
        <v/>
      </c>
    </row>
    <row r="217" spans="1:29" x14ac:dyDescent="0.3">
      <c r="A217" s="22" t="s">
        <v>83</v>
      </c>
      <c r="B217" s="41" t="str">
        <f t="shared" si="17"/>
        <v/>
      </c>
      <c r="C217" s="150">
        <f>(ROW()-1)</f>
        <v>216</v>
      </c>
      <c r="D217" s="151"/>
      <c r="E217" s="151"/>
      <c r="F217" s="151"/>
      <c r="G217" s="151"/>
      <c r="H217" s="151"/>
      <c r="I217" s="151" t="s">
        <v>9</v>
      </c>
      <c r="J217" s="151"/>
      <c r="K217" s="152" t="s">
        <v>24</v>
      </c>
      <c r="L217" s="152" t="s">
        <v>38</v>
      </c>
      <c r="M217" s="158" t="s">
        <v>961</v>
      </c>
      <c r="N217" s="152" t="s">
        <v>962</v>
      </c>
      <c r="O217" s="155">
        <v>0</v>
      </c>
      <c r="P217" s="152"/>
      <c r="Q217" s="151"/>
      <c r="R217" s="151" t="s">
        <v>197</v>
      </c>
      <c r="S217" s="38"/>
      <c r="T217" s="38"/>
      <c r="Z217" s="59" t="str">
        <f>IF(OR($M217="",NOT($O217="{array}")),"",IFERROR(MATCH(PARAMETERS!$M217,DEFAULT!$B$5:$BZ$5,0),""))</f>
        <v/>
      </c>
      <c r="AA217" s="56" t="str">
        <f>IF($M217="","",IFERROR(MATCH($M217,VALUESnames,0),""))</f>
        <v/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IF($AA217="","",IF($B217="I",VLOOKUP($AA217,#REF!,53,0),INDEX(VALUES!$B$1:$AO$1,1,$AA217)))</f>
        <v/>
      </c>
    </row>
    <row r="218" spans="1:29" x14ac:dyDescent="0.3">
      <c r="A218" s="22" t="s">
        <v>192</v>
      </c>
      <c r="B218" s="41"/>
      <c r="C218" s="42"/>
      <c r="D218" s="38"/>
      <c r="E218" s="38"/>
      <c r="F218" s="38"/>
      <c r="G218" s="38"/>
      <c r="H218" s="38"/>
      <c r="I218" s="38"/>
      <c r="J218" s="38"/>
      <c r="R218" s="38"/>
      <c r="S218" s="38"/>
      <c r="T218" s="38"/>
      <c r="Z218" s="59" t="str">
        <f>IF(OR($M218="",NOT($O218="{array}")),"",IFERROR(MATCH(PARAMETERS!$M218,DEFAULT!$B$5:$BZ$5,0),""))</f>
        <v/>
      </c>
      <c r="AA218" s="56" t="str">
        <f t="shared" si="18"/>
        <v/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IF($AA218="","",IF($B218="I",VLOOKUP($AA218,#REF!,53,0),INDEX(VALUES!$B$1:$AO$1,1,$AA218)))</f>
        <v/>
      </c>
    </row>
    <row r="219" spans="1:29" x14ac:dyDescent="0.3">
      <c r="A219" s="22" t="s">
        <v>83</v>
      </c>
      <c r="B219" s="41" t="str">
        <f t="shared" ref="B219:B256" si="19">IF($A219="P",IF(NOT($Z219=""),"A",IF(NOT($AA219=""),"I","")),IF(NOT($AA219=""),IF($A219="G","V","X"),IF(NOT($Z219=""),"A","")))</f>
        <v/>
      </c>
      <c r="C219" s="42">
        <f t="shared" ref="C219:C228" si="20">(ROW()-1)</f>
        <v>218</v>
      </c>
      <c r="D219" s="38"/>
      <c r="E219" s="38"/>
      <c r="F219" s="38" t="s">
        <v>9</v>
      </c>
      <c r="G219" s="38"/>
      <c r="H219" s="38"/>
      <c r="I219" s="38"/>
      <c r="J219" s="38"/>
      <c r="K219" s="14" t="s">
        <v>57</v>
      </c>
      <c r="L219" s="14" t="s">
        <v>38</v>
      </c>
      <c r="M219" s="48" t="s">
        <v>193</v>
      </c>
      <c r="N219" s="41" t="s">
        <v>194</v>
      </c>
      <c r="R219" s="38" t="s">
        <v>103</v>
      </c>
      <c r="S219" s="38"/>
      <c r="T219" s="38"/>
      <c r="Z219" s="59" t="str">
        <f>IF(OR($M219="",NOT($O219="{array}")),"",IFERROR(MATCH(PARAMETERS!$M219,DEFAULT!$B$5:$BZ$5,0),""))</f>
        <v/>
      </c>
      <c r="AA219" s="56" t="str">
        <f t="shared" si="18"/>
        <v/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IF($AA219="","",IF($B219="I",VLOOKUP($AA219,#REF!,53,0),INDEX(VALUES!$B$1:$AO$1,1,$AA219)))</f>
        <v/>
      </c>
    </row>
    <row r="220" spans="1:29" hidden="1" outlineLevel="1" x14ac:dyDescent="0.3">
      <c r="A220" s="22" t="s">
        <v>83</v>
      </c>
      <c r="B220" s="41" t="str">
        <f t="shared" si="19"/>
        <v>A</v>
      </c>
      <c r="C220" s="42">
        <f t="shared" si="20"/>
        <v>219</v>
      </c>
      <c r="D220" s="38"/>
      <c r="E220" s="38"/>
      <c r="F220" s="38"/>
      <c r="G220" s="38"/>
      <c r="H220" s="38"/>
      <c r="I220" s="38" t="s">
        <v>9</v>
      </c>
      <c r="J220" s="38"/>
      <c r="K220" s="14" t="s">
        <v>52</v>
      </c>
      <c r="L220" s="14" t="s">
        <v>27</v>
      </c>
      <c r="M220" s="211" t="s">
        <v>195</v>
      </c>
      <c r="N220" s="14" t="s">
        <v>196</v>
      </c>
      <c r="O220" s="43" t="s">
        <v>33</v>
      </c>
      <c r="R220" s="38" t="s">
        <v>197</v>
      </c>
      <c r="S220" s="38"/>
      <c r="T220" s="38"/>
      <c r="Z220" s="59">
        <f>IF(OR($M220="",NOT($O220="{array}")),"",IFERROR(MATCH(PARAMETERS!$M220,DEFAULT!$B$5:$BZ$5,0),""))</f>
        <v>14</v>
      </c>
      <c r="AA220" s="56" t="str">
        <f t="shared" si="18"/>
        <v/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IF($AA220="","",IF($B220="I",VLOOKUP($AA220,#REF!,53,0),INDEX(VALUES!$B$1:$AO$1,1,$AA220)))</f>
        <v/>
      </c>
    </row>
    <row r="221" spans="1:29" collapsed="1" x14ac:dyDescent="0.3">
      <c r="A221" s="22" t="s">
        <v>83</v>
      </c>
      <c r="B221" s="41" t="str">
        <f t="shared" si="19"/>
        <v/>
      </c>
      <c r="C221" s="42">
        <f t="shared" si="20"/>
        <v>220</v>
      </c>
      <c r="D221" s="38"/>
      <c r="E221" s="38"/>
      <c r="F221" s="38" t="s">
        <v>9</v>
      </c>
      <c r="G221" s="38"/>
      <c r="H221" s="38"/>
      <c r="I221" s="38"/>
      <c r="J221" s="38"/>
      <c r="K221" s="14" t="s">
        <v>57</v>
      </c>
      <c r="L221" s="14" t="s">
        <v>38</v>
      </c>
      <c r="M221" s="213" t="s">
        <v>198</v>
      </c>
      <c r="N221" s="41" t="s">
        <v>199</v>
      </c>
      <c r="R221" s="38" t="s">
        <v>103</v>
      </c>
      <c r="S221" s="38"/>
      <c r="T221" s="38"/>
      <c r="Z221" s="59" t="str">
        <f>IF(OR($M221="",NOT($O221="{array}")),"",IFERROR(MATCH(PARAMETERS!$M221,DEFAULT!$B$5:$BZ$5,0),""))</f>
        <v/>
      </c>
      <c r="AA221" s="56" t="str">
        <f t="shared" si="18"/>
        <v/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IF($AA221="","",IF($B221="I",VLOOKUP($AA221,#REF!,53,0),INDEX(VALUES!$B$1:$AO$1,1,$AA221)))</f>
        <v/>
      </c>
    </row>
    <row r="222" spans="1:29" hidden="1" outlineLevel="1" x14ac:dyDescent="0.3">
      <c r="A222" s="22" t="s">
        <v>83</v>
      </c>
      <c r="B222" s="41" t="str">
        <f t="shared" si="19"/>
        <v>A</v>
      </c>
      <c r="C222" s="42">
        <f t="shared" si="20"/>
        <v>221</v>
      </c>
      <c r="D222" s="38"/>
      <c r="E222" s="38"/>
      <c r="F222" s="38"/>
      <c r="G222" s="38"/>
      <c r="H222" s="38"/>
      <c r="I222" s="38" t="s">
        <v>9</v>
      </c>
      <c r="J222" s="38"/>
      <c r="K222" s="14" t="s">
        <v>53</v>
      </c>
      <c r="L222" s="14" t="s">
        <v>27</v>
      </c>
      <c r="M222" s="211" t="s">
        <v>200</v>
      </c>
      <c r="N222" s="14" t="s">
        <v>201</v>
      </c>
      <c r="O222" s="43" t="s">
        <v>33</v>
      </c>
      <c r="R222" s="38" t="s">
        <v>197</v>
      </c>
      <c r="S222" s="38"/>
      <c r="T222" s="38"/>
      <c r="Z222" s="59">
        <f>IF(OR($M222="",NOT($O222="{array}")),"",IFERROR(MATCH(PARAMETERS!$M222,DEFAULT!$B$5:$BZ$5,0),""))</f>
        <v>8</v>
      </c>
      <c r="AA222" s="56" t="str">
        <f t="shared" si="18"/>
        <v/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IF($AA222="","",IF($B222="I",VLOOKUP($AA222,#REF!,53,0),INDEX(VALUES!$B$1:$AO$1,1,$AA222)))</f>
        <v/>
      </c>
    </row>
    <row r="223" spans="1:29" hidden="1" outlineLevel="1" x14ac:dyDescent="0.3">
      <c r="A223" s="22" t="s">
        <v>83</v>
      </c>
      <c r="B223" s="41" t="str">
        <f t="shared" si="19"/>
        <v>A</v>
      </c>
      <c r="C223" s="42">
        <f t="shared" si="20"/>
        <v>222</v>
      </c>
      <c r="D223" s="38"/>
      <c r="E223" s="38"/>
      <c r="F223" s="38"/>
      <c r="G223" s="38"/>
      <c r="H223" s="38"/>
      <c r="I223" s="38" t="s">
        <v>9</v>
      </c>
      <c r="J223" s="38"/>
      <c r="K223" s="14" t="s">
        <v>53</v>
      </c>
      <c r="L223" s="14" t="s">
        <v>27</v>
      </c>
      <c r="M223" s="211" t="s">
        <v>202</v>
      </c>
      <c r="N223" s="14" t="s">
        <v>203</v>
      </c>
      <c r="O223" s="43" t="s">
        <v>33</v>
      </c>
      <c r="R223" s="38" t="s">
        <v>197</v>
      </c>
      <c r="S223" s="38"/>
      <c r="T223" s="38"/>
      <c r="Z223" s="59">
        <f>IF(OR($M223="",NOT($O223="{array}")),"",IFERROR(MATCH(PARAMETERS!$M223,DEFAULT!$B$5:$BZ$5,0),""))</f>
        <v>10</v>
      </c>
      <c r="AA223" s="56" t="str">
        <f t="shared" si="18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IF($AA223="","",IF($B223="I",VLOOKUP($AA223,#REF!,53,0),INDEX(VALUES!$B$1:$AO$1,1,$AA223)))</f>
        <v/>
      </c>
    </row>
    <row r="224" spans="1:29" hidden="1" outlineLevel="1" x14ac:dyDescent="0.3">
      <c r="A224" s="22" t="s">
        <v>83</v>
      </c>
      <c r="B224" s="41" t="str">
        <f t="shared" si="19"/>
        <v>A</v>
      </c>
      <c r="C224" s="42">
        <f t="shared" si="20"/>
        <v>223</v>
      </c>
      <c r="D224" s="38"/>
      <c r="E224" s="38"/>
      <c r="F224" s="38"/>
      <c r="G224" s="38"/>
      <c r="H224" s="38"/>
      <c r="I224" s="38" t="s">
        <v>9</v>
      </c>
      <c r="J224" s="38"/>
      <c r="K224" s="14" t="s">
        <v>53</v>
      </c>
      <c r="L224" s="14" t="s">
        <v>27</v>
      </c>
      <c r="M224" s="211" t="s">
        <v>204</v>
      </c>
      <c r="N224" s="14" t="s">
        <v>205</v>
      </c>
      <c r="O224" s="43" t="s">
        <v>33</v>
      </c>
      <c r="R224" s="38" t="s">
        <v>197</v>
      </c>
      <c r="S224" s="38"/>
      <c r="T224" s="38"/>
      <c r="Z224" s="59">
        <f>IF(OR($M224="",NOT($O224="{array}")),"",IFERROR(MATCH(PARAMETERS!$M224,DEFAULT!$B$5:$BZ$5,0),""))</f>
        <v>12</v>
      </c>
      <c r="AA224" s="56" t="str">
        <f t="shared" si="18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IF($AA224="","",IF($B224="I",VLOOKUP($AA224,#REF!,53,0),INDEX(VALUES!$B$1:$AO$1,1,$AA224)))</f>
        <v/>
      </c>
    </row>
    <row r="225" spans="1:29" collapsed="1" x14ac:dyDescent="0.3">
      <c r="A225" s="22" t="s">
        <v>83</v>
      </c>
      <c r="B225" s="41" t="str">
        <f t="shared" si="19"/>
        <v/>
      </c>
      <c r="C225" s="42">
        <f t="shared" si="20"/>
        <v>224</v>
      </c>
      <c r="D225" s="38"/>
      <c r="E225" s="38"/>
      <c r="F225" s="38" t="s">
        <v>9</v>
      </c>
      <c r="G225" s="38"/>
      <c r="H225" s="38"/>
      <c r="I225" s="38"/>
      <c r="J225" s="38"/>
      <c r="K225" s="14" t="s">
        <v>57</v>
      </c>
      <c r="L225" s="14" t="s">
        <v>38</v>
      </c>
      <c r="M225" s="213" t="s">
        <v>969</v>
      </c>
      <c r="N225" s="41" t="s">
        <v>970</v>
      </c>
      <c r="R225" s="38" t="s">
        <v>197</v>
      </c>
      <c r="S225" s="38"/>
      <c r="T225" s="38"/>
      <c r="Z225" s="59" t="str">
        <f>IF(OR($M225="",NOT($O225="{array}")),"",IFERROR(MATCH(PARAMETERS!$M225,DEFAULT!$B$5:$BZ$5,0),""))</f>
        <v/>
      </c>
      <c r="AA225" s="56" t="str">
        <f t="shared" si="18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IF($AA225="","",IF($B225="I",VLOOKUP($AA225,#REF!,53,0),INDEX(VALUES!$B$1:$AO$1,1,$AA225)))</f>
        <v/>
      </c>
    </row>
    <row r="226" spans="1:29" hidden="1" outlineLevel="1" x14ac:dyDescent="0.3">
      <c r="A226" s="22" t="s">
        <v>83</v>
      </c>
      <c r="B226" s="41" t="str">
        <f t="shared" si="19"/>
        <v>A</v>
      </c>
      <c r="C226" s="42">
        <f t="shared" si="20"/>
        <v>225</v>
      </c>
      <c r="D226" s="38"/>
      <c r="E226" s="38"/>
      <c r="F226" s="38"/>
      <c r="G226" s="38"/>
      <c r="H226" s="38"/>
      <c r="I226" s="38" t="s">
        <v>9</v>
      </c>
      <c r="J226" s="38"/>
      <c r="K226" s="14" t="s">
        <v>51</v>
      </c>
      <c r="L226" s="14" t="s">
        <v>27</v>
      </c>
      <c r="M226" s="211" t="s">
        <v>967</v>
      </c>
      <c r="N226" s="14" t="s">
        <v>971</v>
      </c>
      <c r="O226" s="43" t="s">
        <v>33</v>
      </c>
      <c r="R226" s="38" t="s">
        <v>197</v>
      </c>
      <c r="S226" s="38"/>
      <c r="T226" s="38"/>
      <c r="Z226" s="59">
        <f>IF(OR($M226="",NOT($O226="{array}")),"",IFERROR(MATCH(PARAMETERS!$M226,DEFAULT!$B$5:$BZ$5,0),""))</f>
        <v>18</v>
      </c>
      <c r="AA226" s="56" t="str">
        <f t="shared" si="18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IF($AA226="","",IF($B226="I",VLOOKUP($AA226,#REF!,53,0),INDEX(VALUES!$B$1:$AO$1,1,$AA226)))</f>
        <v/>
      </c>
    </row>
    <row r="227" spans="1:29" collapsed="1" x14ac:dyDescent="0.3">
      <c r="A227" s="22"/>
      <c r="B227" s="41" t="str">
        <f t="shared" si="19"/>
        <v/>
      </c>
      <c r="C227" s="42">
        <f t="shared" si="20"/>
        <v>226</v>
      </c>
      <c r="D227" s="38"/>
      <c r="E227" s="38"/>
      <c r="F227" s="38" t="s">
        <v>9</v>
      </c>
      <c r="G227" s="38"/>
      <c r="H227" s="38"/>
      <c r="I227" s="38"/>
      <c r="J227" s="38"/>
      <c r="K227" s="14" t="s">
        <v>57</v>
      </c>
      <c r="L227" s="14" t="s">
        <v>38</v>
      </c>
      <c r="M227" s="213" t="s">
        <v>206</v>
      </c>
      <c r="N227" s="41" t="s">
        <v>207</v>
      </c>
      <c r="R227" s="38" t="s">
        <v>103</v>
      </c>
      <c r="S227" s="38"/>
      <c r="T227" s="38"/>
      <c r="Z227" s="59" t="str">
        <f>IF(OR($M227="",NOT($O227="{array}")),"",IFERROR(MATCH(PARAMETERS!$M227,DEFAULT!$B$5:$BZ$5,0),""))</f>
        <v/>
      </c>
      <c r="AA227" s="56" t="str">
        <f t="shared" si="18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IF($AA227="","",IF($B227="I",VLOOKUP($AA227,#REF!,53,0),INDEX(VALUES!$B$1:$AO$1,1,$AA227)))</f>
        <v/>
      </c>
    </row>
    <row r="228" spans="1:29" hidden="1" outlineLevel="1" x14ac:dyDescent="0.3">
      <c r="A228" s="22" t="s">
        <v>83</v>
      </c>
      <c r="B228" s="41" t="str">
        <f t="shared" si="19"/>
        <v>A</v>
      </c>
      <c r="C228" s="42">
        <f t="shared" si="20"/>
        <v>227</v>
      </c>
      <c r="D228" s="38"/>
      <c r="E228" s="38"/>
      <c r="F228" s="38"/>
      <c r="G228" s="38"/>
      <c r="H228" s="38"/>
      <c r="I228" s="38" t="s">
        <v>9</v>
      </c>
      <c r="J228" s="38"/>
      <c r="K228" s="14" t="s">
        <v>50</v>
      </c>
      <c r="L228" s="14" t="s">
        <v>27</v>
      </c>
      <c r="M228" s="211" t="s">
        <v>208</v>
      </c>
      <c r="N228" s="14" t="s">
        <v>209</v>
      </c>
      <c r="O228" s="43" t="s">
        <v>33</v>
      </c>
      <c r="R228" s="38" t="s">
        <v>197</v>
      </c>
      <c r="S228" s="38"/>
      <c r="T228" s="38"/>
      <c r="Z228" s="59">
        <f>IF(OR($M228="",NOT($O228="{array}")),"",IFERROR(MATCH(PARAMETERS!$M228,DEFAULT!$B$5:$BZ$5,0),""))</f>
        <v>16</v>
      </c>
      <c r="AA228" s="56" t="str">
        <f t="shared" si="18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IF($AA228="","",IF($B228="I",VLOOKUP($AA228,#REF!,53,0),INDEX(VALUES!$B$1:$AO$1,1,$AA228)))</f>
        <v/>
      </c>
    </row>
    <row r="229" spans="1:29" hidden="1" outlineLevel="1" x14ac:dyDescent="0.3">
      <c r="A229" s="22" t="s">
        <v>83</v>
      </c>
      <c r="B229" s="41" t="str">
        <f t="shared" si="19"/>
        <v/>
      </c>
      <c r="C229" s="42">
        <f t="shared" ref="C229:C236" si="21">(ROW()-1)</f>
        <v>228</v>
      </c>
      <c r="D229" s="38"/>
      <c r="E229" s="38"/>
      <c r="F229" s="38" t="s">
        <v>9</v>
      </c>
      <c r="G229" s="38"/>
      <c r="H229" s="38"/>
      <c r="I229" s="38" t="s">
        <v>9</v>
      </c>
      <c r="J229" s="38"/>
      <c r="K229" s="14" t="s">
        <v>50</v>
      </c>
      <c r="L229" s="14" t="s">
        <v>27</v>
      </c>
      <c r="M229" s="20" t="s">
        <v>677</v>
      </c>
      <c r="N229" s="14" t="s">
        <v>678</v>
      </c>
      <c r="O229" s="43">
        <v>133</v>
      </c>
      <c r="R229" s="38" t="s">
        <v>103</v>
      </c>
      <c r="S229" s="38"/>
      <c r="T229" s="38"/>
      <c r="W229" s="15" t="s">
        <v>103</v>
      </c>
      <c r="Z229" s="59" t="str">
        <f>IF(OR($M229="",NOT($O229="{array}")),"",IFERROR(MATCH(PARAMETERS!$M229,DEFAULT!$B$5:$BZ$5,0),""))</f>
        <v/>
      </c>
      <c r="AA229" s="56" t="str">
        <f t="shared" si="18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IF($AA229="","",IF($B229="I",VLOOKUP($AA229,#REF!,53,0),INDEX(VALUES!$B$1:$AO$1,1,$AA229)))</f>
        <v/>
      </c>
    </row>
    <row r="230" spans="1:29" hidden="1" outlineLevel="1" x14ac:dyDescent="0.3">
      <c r="A230" s="22" t="s">
        <v>83</v>
      </c>
      <c r="B230" s="41" t="str">
        <f t="shared" si="19"/>
        <v/>
      </c>
      <c r="C230" s="42">
        <f t="shared" si="21"/>
        <v>229</v>
      </c>
      <c r="D230" s="38"/>
      <c r="E230" s="38"/>
      <c r="F230" s="38" t="s">
        <v>9</v>
      </c>
      <c r="G230" s="38"/>
      <c r="H230" s="38"/>
      <c r="I230" s="38" t="s">
        <v>9</v>
      </c>
      <c r="J230" s="38"/>
      <c r="K230" s="14" t="s">
        <v>50</v>
      </c>
      <c r="L230" s="14" t="s">
        <v>27</v>
      </c>
      <c r="M230" s="20" t="s">
        <v>679</v>
      </c>
      <c r="N230" s="14" t="s">
        <v>680</v>
      </c>
      <c r="O230" s="43">
        <v>24</v>
      </c>
      <c r="R230" s="38" t="s">
        <v>103</v>
      </c>
      <c r="S230" s="38"/>
      <c r="T230" s="38"/>
      <c r="W230" s="15" t="s">
        <v>103</v>
      </c>
      <c r="Z230" s="59" t="str">
        <f>IF(OR($M230="",NOT($O230="{array}")),"",IFERROR(MATCH(PARAMETERS!$M230,DEFAULT!$B$5:$BZ$5,0),""))</f>
        <v/>
      </c>
      <c r="AA230" s="56" t="str">
        <f t="shared" si="18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IF($AA230="","",IF($B230="I",VLOOKUP($AA230,#REF!,53,0),INDEX(VALUES!$B$1:$AO$1,1,$AA230)))</f>
        <v/>
      </c>
    </row>
    <row r="231" spans="1:29" hidden="1" outlineLevel="1" x14ac:dyDescent="0.3">
      <c r="A231" s="22" t="s">
        <v>83</v>
      </c>
      <c r="B231" s="41" t="str">
        <f t="shared" si="19"/>
        <v/>
      </c>
      <c r="C231" s="42">
        <f t="shared" si="21"/>
        <v>230</v>
      </c>
      <c r="D231" s="38"/>
      <c r="E231" s="38"/>
      <c r="F231" s="38" t="s">
        <v>9</v>
      </c>
      <c r="G231" s="38"/>
      <c r="H231" s="38"/>
      <c r="I231" s="38" t="s">
        <v>9</v>
      </c>
      <c r="J231" s="38"/>
      <c r="K231" s="14" t="s">
        <v>50</v>
      </c>
      <c r="L231" s="14" t="s">
        <v>27</v>
      </c>
      <c r="M231" s="20" t="s">
        <v>681</v>
      </c>
      <c r="N231" s="14" t="s">
        <v>682</v>
      </c>
      <c r="O231" s="43">
        <v>40</v>
      </c>
      <c r="R231" s="38" t="s">
        <v>103</v>
      </c>
      <c r="S231" s="38"/>
      <c r="T231" s="38"/>
      <c r="W231" s="15" t="s">
        <v>103</v>
      </c>
      <c r="Z231" s="59" t="str">
        <f>IF(OR($M231="",NOT($O231="{array}")),"",IFERROR(MATCH(PARAMETERS!$M231,DEFAULT!$B$5:$BZ$5,0),""))</f>
        <v/>
      </c>
      <c r="AA231" s="56" t="str">
        <f t="shared" si="18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IF($AA231="","",IF($B231="I",VLOOKUP($AA231,#REF!,53,0),INDEX(VALUES!$B$1:$AO$1,1,$AA231)))</f>
        <v/>
      </c>
    </row>
    <row r="232" spans="1:29" hidden="1" outlineLevel="1" x14ac:dyDescent="0.3">
      <c r="A232" s="22" t="s">
        <v>83</v>
      </c>
      <c r="B232" s="41" t="str">
        <f t="shared" si="19"/>
        <v/>
      </c>
      <c r="C232" s="42">
        <f t="shared" si="21"/>
        <v>231</v>
      </c>
      <c r="D232" s="38"/>
      <c r="E232" s="38"/>
      <c r="F232" s="38" t="s">
        <v>9</v>
      </c>
      <c r="G232" s="38"/>
      <c r="H232" s="38"/>
      <c r="I232" s="38" t="s">
        <v>9</v>
      </c>
      <c r="J232" s="38"/>
      <c r="K232" s="14" t="s">
        <v>50</v>
      </c>
      <c r="L232" s="14" t="s">
        <v>27</v>
      </c>
      <c r="M232" s="20" t="s">
        <v>683</v>
      </c>
      <c r="N232" s="14" t="s">
        <v>684</v>
      </c>
      <c r="O232" s="43">
        <v>133</v>
      </c>
      <c r="R232" s="38" t="s">
        <v>103</v>
      </c>
      <c r="S232" s="38"/>
      <c r="T232" s="38"/>
      <c r="W232" s="15" t="s">
        <v>103</v>
      </c>
      <c r="Z232" s="59" t="str">
        <f>IF(OR($M232="",NOT($O232="{array}")),"",IFERROR(MATCH(PARAMETERS!$M232,DEFAULT!$B$5:$BZ$5,0),""))</f>
        <v/>
      </c>
      <c r="AA232" s="56" t="str">
        <f t="shared" si="18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IF($AA232="","",IF($B232="I",VLOOKUP($AA232,#REF!,53,0),INDEX(VALUES!$B$1:$AO$1,1,$AA232)))</f>
        <v/>
      </c>
    </row>
    <row r="233" spans="1:29" hidden="1" outlineLevel="1" x14ac:dyDescent="0.3">
      <c r="A233" s="22" t="s">
        <v>83</v>
      </c>
      <c r="B233" s="41" t="str">
        <f t="shared" si="19"/>
        <v/>
      </c>
      <c r="C233" s="42">
        <f t="shared" si="21"/>
        <v>232</v>
      </c>
      <c r="D233" s="38"/>
      <c r="E233" s="38"/>
      <c r="F233" s="38"/>
      <c r="G233" s="38"/>
      <c r="H233" s="38"/>
      <c r="I233" s="38" t="s">
        <v>9</v>
      </c>
      <c r="J233" s="38"/>
      <c r="K233" s="14" t="s">
        <v>47</v>
      </c>
      <c r="L233" s="14" t="s">
        <v>27</v>
      </c>
      <c r="M233" s="20" t="s">
        <v>685</v>
      </c>
      <c r="N233" s="14" t="s">
        <v>686</v>
      </c>
      <c r="O233" s="43">
        <v>1</v>
      </c>
      <c r="R233" s="38" t="s">
        <v>103</v>
      </c>
      <c r="S233" s="38"/>
      <c r="T233" s="38"/>
      <c r="W233" s="15" t="s">
        <v>103</v>
      </c>
      <c r="Z233" s="59" t="str">
        <f>IF(OR($M233="",NOT($O233="{array}")),"",IFERROR(MATCH(PARAMETERS!$M233,DEFAULT!$B$5:$BZ$5,0),""))</f>
        <v/>
      </c>
      <c r="AA233" s="56" t="str">
        <f t="shared" si="18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IF($AA233="","",IF($B233="I",VLOOKUP($AA233,#REF!,53,0),INDEX(VALUES!$B$1:$AO$1,1,$AA233)))</f>
        <v/>
      </c>
    </row>
    <row r="234" spans="1:29" hidden="1" outlineLevel="1" x14ac:dyDescent="0.3">
      <c r="A234" s="22"/>
      <c r="B234" s="41" t="str">
        <f t="shared" si="19"/>
        <v/>
      </c>
      <c r="C234" s="42">
        <f t="shared" si="21"/>
        <v>233</v>
      </c>
      <c r="D234" s="38"/>
      <c r="E234" s="38"/>
      <c r="F234" s="38"/>
      <c r="G234" s="38" t="s">
        <v>9</v>
      </c>
      <c r="H234" s="38"/>
      <c r="I234" s="38" t="s">
        <v>9</v>
      </c>
      <c r="J234" s="38"/>
      <c r="K234" s="14" t="s">
        <v>44</v>
      </c>
      <c r="L234" s="14" t="s">
        <v>27</v>
      </c>
      <c r="M234" s="20" t="s">
        <v>687</v>
      </c>
      <c r="O234" s="43" t="s">
        <v>33</v>
      </c>
      <c r="R234" s="38" t="s">
        <v>103</v>
      </c>
      <c r="S234" s="38"/>
      <c r="T234" s="38"/>
      <c r="W234" s="15" t="s">
        <v>103</v>
      </c>
      <c r="Z234" s="59" t="str">
        <f>IF(OR($M234="",NOT($O234="{array}")),"",IFERROR(MATCH(PARAMETERS!$M234,DEFAULT!$B$5:$BZ$5,0),""))</f>
        <v/>
      </c>
      <c r="AA234" s="56" t="str">
        <f t="shared" si="18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IF($AA234="","",IF($B234="I",VLOOKUP($AA234,#REF!,53,0),INDEX(VALUES!$B$1:$AO$1,1,$AA234)))</f>
        <v/>
      </c>
    </row>
    <row r="235" spans="1:29" hidden="1" outlineLevel="1" x14ac:dyDescent="0.3">
      <c r="A235" s="22" t="s">
        <v>83</v>
      </c>
      <c r="B235" s="41" t="str">
        <f t="shared" si="19"/>
        <v/>
      </c>
      <c r="C235" s="42">
        <f t="shared" si="21"/>
        <v>234</v>
      </c>
      <c r="D235" s="38"/>
      <c r="E235" s="38"/>
      <c r="F235" s="38" t="s">
        <v>9</v>
      </c>
      <c r="G235" s="38"/>
      <c r="H235" s="38"/>
      <c r="I235" s="38" t="s">
        <v>9</v>
      </c>
      <c r="J235" s="38"/>
      <c r="K235" s="14" t="s">
        <v>50</v>
      </c>
      <c r="L235" s="14" t="s">
        <v>27</v>
      </c>
      <c r="M235" s="20" t="s">
        <v>688</v>
      </c>
      <c r="N235" s="14" t="s">
        <v>689</v>
      </c>
      <c r="O235" s="43">
        <v>133</v>
      </c>
      <c r="R235" s="38" t="s">
        <v>103</v>
      </c>
      <c r="S235" s="38"/>
      <c r="T235" s="38"/>
      <c r="W235" s="15" t="s">
        <v>103</v>
      </c>
      <c r="Z235" s="59" t="str">
        <f>IF(OR($M235="",NOT($O235="{array}")),"",IFERROR(MATCH(PARAMETERS!$M235,DEFAULT!$B$5:$BZ$5,0),""))</f>
        <v/>
      </c>
      <c r="AA235" s="56" t="str">
        <f t="shared" ref="AA235:AA256" si="22">IF($M235="","",IFERROR(MATCH($M235,VALUESnames,0),""))</f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IF($AA235="","",IF($B235="I",VLOOKUP($AA235,#REF!,53,0),INDEX(VALUES!$B$1:$AO$1,1,$AA235)))</f>
        <v/>
      </c>
    </row>
    <row r="236" spans="1:29" hidden="1" outlineLevel="1" x14ac:dyDescent="0.3">
      <c r="A236" s="22" t="s">
        <v>83</v>
      </c>
      <c r="B236" s="41" t="str">
        <f t="shared" si="19"/>
        <v/>
      </c>
      <c r="C236" s="42">
        <f t="shared" si="21"/>
        <v>235</v>
      </c>
      <c r="D236" s="38"/>
      <c r="E236" s="38"/>
      <c r="F236" s="38" t="s">
        <v>9</v>
      </c>
      <c r="G236" s="38"/>
      <c r="H236" s="38"/>
      <c r="I236" s="38" t="s">
        <v>9</v>
      </c>
      <c r="J236" s="38"/>
      <c r="K236" s="14" t="s">
        <v>50</v>
      </c>
      <c r="L236" s="14" t="s">
        <v>27</v>
      </c>
      <c r="M236" s="20" t="s">
        <v>690</v>
      </c>
      <c r="N236" s="14" t="s">
        <v>691</v>
      </c>
      <c r="O236" s="43">
        <v>133</v>
      </c>
      <c r="R236" s="38" t="s">
        <v>103</v>
      </c>
      <c r="S236" s="38"/>
      <c r="T236" s="38"/>
      <c r="W236" s="15" t="s">
        <v>103</v>
      </c>
      <c r="Z236" s="59" t="str">
        <f>IF(OR($M236="",NOT($O236="{array}")),"",IFERROR(MATCH(PARAMETERS!$M236,DEFAULT!$B$5:$BZ$5,0),""))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IF($AA236="","",IF($B236="I",VLOOKUP($AA236,#REF!,53,0),INDEX(VALUES!$B$1:$AO$1,1,$AA236)))</f>
        <v/>
      </c>
    </row>
    <row r="237" spans="1:29" collapsed="1" x14ac:dyDescent="0.3">
      <c r="A237" s="22" t="s">
        <v>83</v>
      </c>
      <c r="B237" s="41" t="str">
        <f t="shared" si="19"/>
        <v/>
      </c>
      <c r="C237" s="42">
        <f t="shared" ref="C237:C256" si="23">(ROW()-1)</f>
        <v>236</v>
      </c>
      <c r="D237" s="38"/>
      <c r="E237" s="38"/>
      <c r="F237" s="38" t="s">
        <v>9</v>
      </c>
      <c r="G237" s="38"/>
      <c r="H237" s="38"/>
      <c r="I237" s="38"/>
      <c r="J237" s="38"/>
      <c r="K237" s="14" t="s">
        <v>57</v>
      </c>
      <c r="L237" s="14" t="s">
        <v>38</v>
      </c>
      <c r="M237" s="48" t="s">
        <v>692</v>
      </c>
      <c r="N237" s="41" t="s">
        <v>693</v>
      </c>
      <c r="R237" s="38" t="s">
        <v>103</v>
      </c>
      <c r="S237" s="38"/>
      <c r="T237" s="38"/>
      <c r="W237" s="15" t="s">
        <v>103</v>
      </c>
      <c r="Z237" s="59" t="str">
        <f>IF(OR($M237="",NOT($O237="{array}")),"",IFERROR(MATCH(PARAMETERS!$M237,DEFAULT!$B$5:$BZ$5,0),""))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IF($AA237="","",IF($B237="I",VLOOKUP($AA237,#REF!,53,0),INDEX(VALUES!$B$1:$AO$1,1,$AA237)))</f>
        <v/>
      </c>
    </row>
    <row r="238" spans="1:29" hidden="1" outlineLevel="1" x14ac:dyDescent="0.3">
      <c r="A238" s="22" t="s">
        <v>83</v>
      </c>
      <c r="B238" s="41" t="str">
        <f t="shared" si="19"/>
        <v/>
      </c>
      <c r="C238" s="42">
        <f t="shared" si="23"/>
        <v>237</v>
      </c>
      <c r="D238" s="38"/>
      <c r="E238" s="38"/>
      <c r="F238" s="38" t="s">
        <v>9</v>
      </c>
      <c r="G238" s="38"/>
      <c r="H238" s="38"/>
      <c r="I238" s="38" t="s">
        <v>9</v>
      </c>
      <c r="J238" s="38"/>
      <c r="K238" s="14" t="s">
        <v>44</v>
      </c>
      <c r="L238" s="14" t="s">
        <v>27</v>
      </c>
      <c r="M238" s="20" t="s">
        <v>694</v>
      </c>
      <c r="N238" s="14" t="s">
        <v>695</v>
      </c>
      <c r="O238" s="43">
        <v>0</v>
      </c>
      <c r="R238" s="38" t="s">
        <v>103</v>
      </c>
      <c r="S238" s="38"/>
      <c r="T238" s="38"/>
      <c r="W238" s="15" t="s">
        <v>103</v>
      </c>
      <c r="Z238" s="59" t="str">
        <f>IF(OR($M238="",NOT($O238="{array}")),"",IFERROR(MATCH(PARAMETERS!$M238,DEFAULT!$B$5:$BZ$5,0),""))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IF($AA238="","",IF($B238="I",VLOOKUP($AA238,#REF!,53,0),INDEX(VALUES!$B$1:$AO$1,1,$AA238)))</f>
        <v/>
      </c>
    </row>
    <row r="239" spans="1:29" hidden="1" outlineLevel="1" x14ac:dyDescent="0.3">
      <c r="A239" s="22" t="s">
        <v>83</v>
      </c>
      <c r="B239" s="41" t="str">
        <f t="shared" si="19"/>
        <v/>
      </c>
      <c r="C239" s="42">
        <f t="shared" si="23"/>
        <v>238</v>
      </c>
      <c r="D239" s="38"/>
      <c r="E239" s="38"/>
      <c r="F239" s="38" t="s">
        <v>9</v>
      </c>
      <c r="G239" s="38"/>
      <c r="H239" s="38"/>
      <c r="I239" s="38" t="s">
        <v>9</v>
      </c>
      <c r="J239" s="38"/>
      <c r="K239" s="14" t="s">
        <v>44</v>
      </c>
      <c r="L239" s="14" t="s">
        <v>27</v>
      </c>
      <c r="M239" s="20" t="s">
        <v>696</v>
      </c>
      <c r="N239" s="14" t="s">
        <v>697</v>
      </c>
      <c r="O239" s="43">
        <v>0</v>
      </c>
      <c r="R239" s="38" t="s">
        <v>103</v>
      </c>
      <c r="S239" s="38"/>
      <c r="T239" s="38"/>
      <c r="W239" s="15" t="s">
        <v>103</v>
      </c>
      <c r="Z239" s="59" t="str">
        <f>IF(OR($M239="",NOT($O239="{array}")),"",IFERROR(MATCH(PARAMETERS!$M239,DEFAULT!$B$5:$BZ$5,0),""))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IF($AA239="","",IF($B239="I",VLOOKUP($AA239,#REF!,53,0),INDEX(VALUES!$B$1:$AO$1,1,$AA239)))</f>
        <v/>
      </c>
    </row>
    <row r="240" spans="1:29" hidden="1" outlineLevel="1" x14ac:dyDescent="0.3">
      <c r="A240" s="22" t="s">
        <v>83</v>
      </c>
      <c r="B240" s="41" t="str">
        <f t="shared" si="19"/>
        <v/>
      </c>
      <c r="C240" s="42">
        <f t="shared" si="23"/>
        <v>239</v>
      </c>
      <c r="D240" s="38"/>
      <c r="E240" s="38"/>
      <c r="F240" s="38" t="s">
        <v>9</v>
      </c>
      <c r="G240" s="38"/>
      <c r="H240" s="38"/>
      <c r="I240" s="38" t="s">
        <v>9</v>
      </c>
      <c r="J240" s="38"/>
      <c r="K240" s="14" t="s">
        <v>47</v>
      </c>
      <c r="L240" s="14" t="s">
        <v>27</v>
      </c>
      <c r="M240" s="20" t="s">
        <v>698</v>
      </c>
      <c r="N240" s="14" t="s">
        <v>699</v>
      </c>
      <c r="O240" s="43">
        <v>0</v>
      </c>
      <c r="R240" s="38" t="s">
        <v>103</v>
      </c>
      <c r="S240" s="38"/>
      <c r="T240" s="38"/>
      <c r="W240" s="15" t="s">
        <v>103</v>
      </c>
      <c r="Z240" s="59" t="str">
        <f>IF(OR($M240="",NOT($O240="{array}")),"",IFERROR(MATCH(PARAMETERS!$M240,DEFAULT!$B$5:$BZ$5,0),""))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IF($AA240="","",IF($B240="I",VLOOKUP($AA240,#REF!,53,0),INDEX(VALUES!$B$1:$AO$1,1,$AA240)))</f>
        <v/>
      </c>
    </row>
    <row r="241" spans="1:29" hidden="1" outlineLevel="1" x14ac:dyDescent="0.3">
      <c r="A241" s="22" t="s">
        <v>83</v>
      </c>
      <c r="B241" s="41" t="str">
        <f t="shared" si="19"/>
        <v/>
      </c>
      <c r="C241" s="42">
        <f t="shared" si="23"/>
        <v>240</v>
      </c>
      <c r="D241" s="38"/>
      <c r="E241" s="38"/>
      <c r="F241" s="38" t="s">
        <v>9</v>
      </c>
      <c r="G241" s="38"/>
      <c r="H241" s="38"/>
      <c r="I241" s="38" t="s">
        <v>9</v>
      </c>
      <c r="J241" s="38"/>
      <c r="K241" s="14" t="s">
        <v>24</v>
      </c>
      <c r="L241" s="14" t="s">
        <v>27</v>
      </c>
      <c r="M241" s="20" t="s">
        <v>700</v>
      </c>
      <c r="N241" s="14" t="s">
        <v>701</v>
      </c>
      <c r="O241" s="43">
        <v>0</v>
      </c>
      <c r="R241" s="38" t="s">
        <v>103</v>
      </c>
      <c r="S241" s="38"/>
      <c r="T241" s="38"/>
      <c r="W241" s="15" t="s">
        <v>103</v>
      </c>
      <c r="Z241" s="59" t="str">
        <f>IF(OR($M241="",NOT($O241="{array}")),"",IFERROR(MATCH(PARAMETERS!$M241,DEFAULT!$B$5:$BZ$5,0),""))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IF($AA241="","",IF($B241="I",VLOOKUP($AA241,#REF!,53,0),INDEX(VALUES!$B$1:$AO$1,1,$AA241)))</f>
        <v/>
      </c>
    </row>
    <row r="242" spans="1:29" hidden="1" outlineLevel="1" x14ac:dyDescent="0.3">
      <c r="A242" s="22" t="s">
        <v>83</v>
      </c>
      <c r="B242" s="41" t="str">
        <f t="shared" si="19"/>
        <v/>
      </c>
      <c r="C242" s="42">
        <f t="shared" si="23"/>
        <v>241</v>
      </c>
      <c r="D242" s="38"/>
      <c r="E242" s="38"/>
      <c r="F242" s="38" t="s">
        <v>9</v>
      </c>
      <c r="G242" s="38"/>
      <c r="H242" s="38"/>
      <c r="I242" s="38" t="s">
        <v>9</v>
      </c>
      <c r="J242" s="38"/>
      <c r="K242" s="14" t="s">
        <v>24</v>
      </c>
      <c r="L242" s="14" t="s">
        <v>27</v>
      </c>
      <c r="M242" s="20" t="s">
        <v>702</v>
      </c>
      <c r="N242" s="14" t="s">
        <v>703</v>
      </c>
      <c r="O242" s="43">
        <v>0</v>
      </c>
      <c r="R242" s="38" t="s">
        <v>103</v>
      </c>
      <c r="S242" s="38"/>
      <c r="T242" s="38"/>
      <c r="W242" s="15" t="s">
        <v>103</v>
      </c>
      <c r="Z242" s="59" t="str">
        <f>IF(OR($M242="",NOT($O242="{array}")),"",IFERROR(MATCH(PARAMETERS!$M242,DEFAULT!$B$5:$BZ$5,0),""))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IF($AA242="","",IF($B242="I",VLOOKUP($AA242,#REF!,53,0),INDEX(VALUES!$B$1:$AO$1,1,$AA242)))</f>
        <v/>
      </c>
    </row>
    <row r="243" spans="1:29" hidden="1" outlineLevel="1" x14ac:dyDescent="0.3">
      <c r="A243" s="22" t="s">
        <v>83</v>
      </c>
      <c r="B243" s="41" t="str">
        <f t="shared" si="19"/>
        <v/>
      </c>
      <c r="C243" s="42">
        <f t="shared" si="23"/>
        <v>242</v>
      </c>
      <c r="D243" s="38"/>
      <c r="E243" s="38"/>
      <c r="F243" s="38" t="s">
        <v>9</v>
      </c>
      <c r="G243" s="38"/>
      <c r="H243" s="38"/>
      <c r="I243" s="38" t="s">
        <v>9</v>
      </c>
      <c r="J243" s="38"/>
      <c r="K243" s="14" t="s">
        <v>24</v>
      </c>
      <c r="L243" s="14" t="s">
        <v>27</v>
      </c>
      <c r="M243" s="20" t="s">
        <v>704</v>
      </c>
      <c r="N243" s="14" t="s">
        <v>705</v>
      </c>
      <c r="O243" s="43">
        <v>0.04</v>
      </c>
      <c r="R243" s="38" t="s">
        <v>103</v>
      </c>
      <c r="S243" s="38"/>
      <c r="T243" s="38"/>
      <c r="W243" s="15" t="s">
        <v>103</v>
      </c>
      <c r="Z243" s="59" t="str">
        <f>IF(OR($M243="",NOT($O243="{array}")),"",IFERROR(MATCH(PARAMETERS!$M243,DEFAULT!$B$5:$BZ$5,0),""))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IF($AA243="","",IF($B243="I",VLOOKUP($AA243,#REF!,53,0),INDEX(VALUES!$B$1:$AO$1,1,$AA243)))</f>
        <v/>
      </c>
    </row>
    <row r="244" spans="1:29" hidden="1" outlineLevel="1" x14ac:dyDescent="0.3">
      <c r="A244" s="22" t="s">
        <v>83</v>
      </c>
      <c r="B244" s="41" t="str">
        <f t="shared" si="19"/>
        <v/>
      </c>
      <c r="C244" s="42">
        <f t="shared" si="23"/>
        <v>243</v>
      </c>
      <c r="D244" s="38"/>
      <c r="E244" s="38"/>
      <c r="F244" s="38" t="s">
        <v>9</v>
      </c>
      <c r="G244" s="38"/>
      <c r="H244" s="38"/>
      <c r="I244" s="38" t="s">
        <v>9</v>
      </c>
      <c r="J244" s="38"/>
      <c r="K244" s="14" t="s">
        <v>24</v>
      </c>
      <c r="L244" s="14" t="s">
        <v>27</v>
      </c>
      <c r="M244" s="20" t="s">
        <v>706</v>
      </c>
      <c r="N244" s="14" t="s">
        <v>707</v>
      </c>
      <c r="O244" s="43">
        <v>0.05</v>
      </c>
      <c r="R244" s="38" t="s">
        <v>103</v>
      </c>
      <c r="S244" s="38"/>
      <c r="T244" s="38"/>
      <c r="W244" s="15" t="s">
        <v>103</v>
      </c>
      <c r="Z244" s="59" t="str">
        <f>IF(OR($M244="",NOT($O244="{array}")),"",IFERROR(MATCH(PARAMETERS!$M244,DEFAULT!$B$5:$BZ$5,0),""))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IF($AA244="","",IF($B244="I",VLOOKUP($AA244,#REF!,53,0),INDEX(VALUES!$B$1:$AO$1,1,$AA244)))</f>
        <v/>
      </c>
    </row>
    <row r="245" spans="1:29" hidden="1" outlineLevel="1" x14ac:dyDescent="0.3">
      <c r="A245" s="22" t="s">
        <v>83</v>
      </c>
      <c r="B245" s="41" t="str">
        <f t="shared" si="19"/>
        <v/>
      </c>
      <c r="C245" s="42">
        <f t="shared" si="23"/>
        <v>244</v>
      </c>
      <c r="D245" s="38"/>
      <c r="E245" s="38"/>
      <c r="F245" s="38" t="s">
        <v>9</v>
      </c>
      <c r="G245" s="38"/>
      <c r="H245" s="38"/>
      <c r="I245" s="38" t="s">
        <v>9</v>
      </c>
      <c r="J245" s="38"/>
      <c r="K245" s="14" t="s">
        <v>24</v>
      </c>
      <c r="L245" s="14" t="s">
        <v>27</v>
      </c>
      <c r="M245" s="20" t="s">
        <v>708</v>
      </c>
      <c r="N245" s="14" t="s">
        <v>709</v>
      </c>
      <c r="O245" s="43">
        <v>0.01</v>
      </c>
      <c r="R245" s="38" t="s">
        <v>103</v>
      </c>
      <c r="S245" s="38"/>
      <c r="T245" s="38"/>
      <c r="W245" s="15" t="s">
        <v>103</v>
      </c>
      <c r="Z245" s="59" t="str">
        <f>IF(OR($M245="",NOT($O245="{array}")),"",IFERROR(MATCH(PARAMETERS!$M245,DEFAULT!$B$5:$BZ$5,0),""))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IF($AA245="","",IF($B245="I",VLOOKUP($AA245,#REF!,53,0),INDEX(VALUES!$B$1:$AO$1,1,$AA245)))</f>
        <v/>
      </c>
    </row>
    <row r="246" spans="1:29" hidden="1" outlineLevel="1" x14ac:dyDescent="0.3">
      <c r="A246" s="22" t="s">
        <v>83</v>
      </c>
      <c r="B246" s="41" t="str">
        <f t="shared" si="19"/>
        <v/>
      </c>
      <c r="C246" s="42">
        <f t="shared" si="23"/>
        <v>245</v>
      </c>
      <c r="D246" s="38"/>
      <c r="E246" s="38"/>
      <c r="F246" s="38" t="s">
        <v>9</v>
      </c>
      <c r="G246" s="38"/>
      <c r="H246" s="38"/>
      <c r="I246" s="38" t="s">
        <v>9</v>
      </c>
      <c r="J246" s="38"/>
      <c r="K246" s="14" t="s">
        <v>24</v>
      </c>
      <c r="L246" s="14" t="s">
        <v>27</v>
      </c>
      <c r="M246" s="20" t="s">
        <v>710</v>
      </c>
      <c r="N246" s="14" t="s">
        <v>711</v>
      </c>
      <c r="O246" s="43">
        <v>0.01</v>
      </c>
      <c r="R246" s="38" t="s">
        <v>103</v>
      </c>
      <c r="S246" s="38"/>
      <c r="T246" s="38"/>
      <c r="W246" s="15" t="s">
        <v>103</v>
      </c>
      <c r="Z246" s="59" t="str">
        <f>IF(OR($M246="",NOT($O246="{array}")),"",IFERROR(MATCH(PARAMETERS!$M246,DEFAULT!$B$5:$BZ$5,0),""))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IF($AA246="","",IF($B246="I",VLOOKUP($AA246,#REF!,53,0),INDEX(VALUES!$B$1:$AO$1,1,$AA246)))</f>
        <v/>
      </c>
    </row>
    <row r="247" spans="1:29" hidden="1" outlineLevel="1" x14ac:dyDescent="0.3">
      <c r="A247" s="22" t="s">
        <v>83</v>
      </c>
      <c r="B247" s="41" t="str">
        <f t="shared" si="19"/>
        <v/>
      </c>
      <c r="C247" s="42">
        <f t="shared" si="23"/>
        <v>246</v>
      </c>
      <c r="D247" s="38"/>
      <c r="E247" s="38"/>
      <c r="F247" s="38" t="s">
        <v>9</v>
      </c>
      <c r="G247" s="38"/>
      <c r="H247" s="38"/>
      <c r="I247" s="38" t="s">
        <v>9</v>
      </c>
      <c r="J247" s="38"/>
      <c r="K247" s="14" t="s">
        <v>53</v>
      </c>
      <c r="L247" s="14" t="s">
        <v>27</v>
      </c>
      <c r="M247" s="20" t="s">
        <v>712</v>
      </c>
      <c r="N247" s="14" t="s">
        <v>713</v>
      </c>
      <c r="O247" s="43">
        <v>1</v>
      </c>
      <c r="R247" s="38" t="s">
        <v>103</v>
      </c>
      <c r="S247" s="38"/>
      <c r="T247" s="38"/>
      <c r="W247" s="15" t="s">
        <v>103</v>
      </c>
      <c r="Z247" s="59" t="str">
        <f>IF(OR($M247="",NOT($O247="{array}")),"",IFERROR(MATCH(PARAMETERS!$M247,DEFAULT!$B$5:$BZ$5,0),""))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IF($AA247="","",IF($B247="I",VLOOKUP($AA247,#REF!,53,0),INDEX(VALUES!$B$1:$AO$1,1,$AA247)))</f>
        <v/>
      </c>
    </row>
    <row r="248" spans="1:29" hidden="1" outlineLevel="1" x14ac:dyDescent="0.3">
      <c r="A248" s="22" t="s">
        <v>83</v>
      </c>
      <c r="B248" s="41" t="str">
        <f t="shared" si="19"/>
        <v/>
      </c>
      <c r="C248" s="42">
        <f t="shared" si="23"/>
        <v>247</v>
      </c>
      <c r="D248" s="38"/>
      <c r="E248" s="38"/>
      <c r="F248" s="38" t="s">
        <v>9</v>
      </c>
      <c r="G248" s="38"/>
      <c r="H248" s="38"/>
      <c r="I248" s="38" t="s">
        <v>9</v>
      </c>
      <c r="J248" s="38"/>
      <c r="K248" s="14" t="s">
        <v>51</v>
      </c>
      <c r="L248" s="14" t="s">
        <v>27</v>
      </c>
      <c r="M248" s="20" t="s">
        <v>714</v>
      </c>
      <c r="N248" s="14" t="s">
        <v>715</v>
      </c>
      <c r="O248" s="43">
        <v>1</v>
      </c>
      <c r="R248" s="38" t="s">
        <v>103</v>
      </c>
      <c r="S248" s="38"/>
      <c r="T248" s="38"/>
      <c r="W248" s="15" t="s">
        <v>103</v>
      </c>
      <c r="Z248" s="59" t="str">
        <f>IF(OR($M248="",NOT($O248="{array}")),"",IFERROR(MATCH(PARAMETERS!$M248,DEFAULT!$B$5:$BZ$5,0),""))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IF($AA248="","",IF($B248="I",VLOOKUP($AA248,#REF!,53,0),INDEX(VALUES!$B$1:$AO$1,1,$AA248)))</f>
        <v/>
      </c>
    </row>
    <row r="249" spans="1:29" hidden="1" outlineLevel="1" x14ac:dyDescent="0.3">
      <c r="A249" s="22" t="s">
        <v>83</v>
      </c>
      <c r="B249" s="41" t="str">
        <f t="shared" si="19"/>
        <v/>
      </c>
      <c r="C249" s="42">
        <f t="shared" si="23"/>
        <v>248</v>
      </c>
      <c r="D249" s="38"/>
      <c r="E249" s="38"/>
      <c r="F249" s="38" t="s">
        <v>9</v>
      </c>
      <c r="G249" s="38"/>
      <c r="H249" s="38"/>
      <c r="I249" s="38" t="s">
        <v>9</v>
      </c>
      <c r="J249" s="38"/>
      <c r="K249" s="14" t="s">
        <v>52</v>
      </c>
      <c r="L249" s="14" t="s">
        <v>27</v>
      </c>
      <c r="M249" s="20" t="s">
        <v>716</v>
      </c>
      <c r="N249" s="14" t="s">
        <v>717</v>
      </c>
      <c r="O249" s="43">
        <v>65</v>
      </c>
      <c r="R249" s="38" t="s">
        <v>103</v>
      </c>
      <c r="S249" s="38"/>
      <c r="T249" s="38"/>
      <c r="W249" s="15" t="s">
        <v>103</v>
      </c>
      <c r="Z249" s="59" t="str">
        <f>IF(OR($M249="",NOT($O249="{array}")),"",IFERROR(MATCH(PARAMETERS!$M249,DEFAULT!$B$5:$BZ$5,0),""))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IF($AA249="","",IF($B249="I",VLOOKUP($AA249,#REF!,53,0),INDEX(VALUES!$B$1:$AO$1,1,$AA249)))</f>
        <v/>
      </c>
    </row>
    <row r="250" spans="1:29" hidden="1" outlineLevel="1" x14ac:dyDescent="0.3">
      <c r="A250" s="22" t="s">
        <v>83</v>
      </c>
      <c r="B250" s="41" t="str">
        <f t="shared" si="19"/>
        <v/>
      </c>
      <c r="C250" s="42">
        <f t="shared" si="23"/>
        <v>249</v>
      </c>
      <c r="D250" s="38"/>
      <c r="E250" s="38"/>
      <c r="F250" s="38" t="s">
        <v>9</v>
      </c>
      <c r="G250" s="38"/>
      <c r="H250" s="38"/>
      <c r="I250" s="38" t="s">
        <v>9</v>
      </c>
      <c r="J250" s="38"/>
      <c r="K250" s="14" t="s">
        <v>53</v>
      </c>
      <c r="L250" s="14" t="s">
        <v>27</v>
      </c>
      <c r="M250" s="20" t="s">
        <v>718</v>
      </c>
      <c r="N250" s="14" t="s">
        <v>719</v>
      </c>
      <c r="O250" s="43">
        <v>2</v>
      </c>
      <c r="R250" s="38" t="s">
        <v>103</v>
      </c>
      <c r="S250" s="38"/>
      <c r="T250" s="38"/>
      <c r="W250" s="15" t="s">
        <v>103</v>
      </c>
      <c r="Z250" s="59" t="str">
        <f>IF(OR($M250="",NOT($O250="{array}")),"",IFERROR(MATCH(PARAMETERS!$M250,DEFAULT!$B$5:$BZ$5,0),""))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IF($AA250="","",IF($B250="I",VLOOKUP($AA250,#REF!,53,0),INDEX(VALUES!$B$1:$AO$1,1,$AA250)))</f>
        <v/>
      </c>
    </row>
    <row r="251" spans="1:29" hidden="1" outlineLevel="1" x14ac:dyDescent="0.3">
      <c r="A251" s="22" t="s">
        <v>83</v>
      </c>
      <c r="B251" s="41" t="str">
        <f t="shared" si="19"/>
        <v/>
      </c>
      <c r="C251" s="42">
        <f t="shared" si="23"/>
        <v>250</v>
      </c>
      <c r="D251" s="38"/>
      <c r="E251" s="38"/>
      <c r="F251" s="38" t="s">
        <v>9</v>
      </c>
      <c r="G251" s="38"/>
      <c r="H251" s="38"/>
      <c r="I251" s="38" t="s">
        <v>9</v>
      </c>
      <c r="J251" s="38"/>
      <c r="K251" s="14" t="s">
        <v>53</v>
      </c>
      <c r="L251" s="14" t="s">
        <v>27</v>
      </c>
      <c r="M251" s="20" t="s">
        <v>720</v>
      </c>
      <c r="N251" s="14" t="s">
        <v>721</v>
      </c>
      <c r="O251" s="43">
        <v>19</v>
      </c>
      <c r="R251" s="38" t="s">
        <v>103</v>
      </c>
      <c r="S251" s="38"/>
      <c r="T251" s="38"/>
      <c r="W251" s="15" t="s">
        <v>103</v>
      </c>
      <c r="Z251" s="59" t="str">
        <f>IF(OR($M251="",NOT($O251="{array}")),"",IFERROR(MATCH(PARAMETERS!$M251,DEFAULT!$B$5:$BZ$5,0),""))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IF($AA251="","",IF($B251="I",VLOOKUP($AA251,#REF!,53,0),INDEX(VALUES!$B$1:$AO$1,1,$AA251)))</f>
        <v/>
      </c>
    </row>
    <row r="252" spans="1:29" hidden="1" outlineLevel="1" x14ac:dyDescent="0.3">
      <c r="A252" s="22" t="s">
        <v>83</v>
      </c>
      <c r="B252" s="41" t="str">
        <f t="shared" si="19"/>
        <v/>
      </c>
      <c r="C252" s="42">
        <f t="shared" si="23"/>
        <v>251</v>
      </c>
      <c r="D252" s="38"/>
      <c r="E252" s="38"/>
      <c r="F252" s="38" t="s">
        <v>9</v>
      </c>
      <c r="G252" s="38"/>
      <c r="H252" s="38"/>
      <c r="I252" s="38" t="s">
        <v>9</v>
      </c>
      <c r="J252" s="38"/>
      <c r="K252" s="14" t="s">
        <v>53</v>
      </c>
      <c r="L252" s="14" t="s">
        <v>27</v>
      </c>
      <c r="M252" s="20" t="s">
        <v>722</v>
      </c>
      <c r="N252" s="14" t="s">
        <v>723</v>
      </c>
      <c r="O252" s="43">
        <v>1</v>
      </c>
      <c r="R252" s="38" t="s">
        <v>103</v>
      </c>
      <c r="S252" s="38"/>
      <c r="T252" s="38"/>
      <c r="W252" s="15" t="s">
        <v>103</v>
      </c>
      <c r="Z252" s="59" t="str">
        <f>IF(OR($M252="",NOT($O252="{array}")),"",IFERROR(MATCH(PARAMETERS!$M252,DEFAULT!$B$5:$BZ$5,0),""))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IF($AA252="","",IF($B252="I",VLOOKUP($AA252,#REF!,53,0),INDEX(VALUES!$B$1:$AO$1,1,$AA252)))</f>
        <v/>
      </c>
    </row>
    <row r="253" spans="1:29" hidden="1" outlineLevel="1" x14ac:dyDescent="0.3">
      <c r="A253" s="22" t="s">
        <v>83</v>
      </c>
      <c r="B253" s="41" t="str">
        <f t="shared" si="19"/>
        <v/>
      </c>
      <c r="C253" s="42">
        <f t="shared" si="23"/>
        <v>252</v>
      </c>
      <c r="D253" s="38"/>
      <c r="E253" s="38"/>
      <c r="F253" s="38"/>
      <c r="G253" s="38"/>
      <c r="H253" s="38"/>
      <c r="I253" s="38" t="s">
        <v>9</v>
      </c>
      <c r="J253" s="38"/>
      <c r="K253" s="14" t="s">
        <v>51</v>
      </c>
      <c r="L253" s="14" t="s">
        <v>27</v>
      </c>
      <c r="M253" s="20" t="s">
        <v>724</v>
      </c>
      <c r="N253" s="14" t="s">
        <v>725</v>
      </c>
      <c r="O253" s="43">
        <v>1</v>
      </c>
      <c r="R253" s="38" t="s">
        <v>103</v>
      </c>
      <c r="S253" s="38"/>
      <c r="T253" s="38"/>
      <c r="W253" s="15" t="s">
        <v>103</v>
      </c>
      <c r="Z253" s="59" t="str">
        <f>IF(OR($M253="",NOT($O253="{array}")),"",IFERROR(MATCH(PARAMETERS!$M253,DEFAULT!$B$5:$BZ$5,0),""))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IF($AA253="","",IF($B253="I",VLOOKUP($AA253,#REF!,53,0),INDEX(VALUES!$B$1:$AO$1,1,$AA253)))</f>
        <v/>
      </c>
    </row>
    <row r="254" spans="1:29" hidden="1" outlineLevel="1" x14ac:dyDescent="0.3">
      <c r="A254" s="22" t="s">
        <v>83</v>
      </c>
      <c r="B254" s="41" t="str">
        <f t="shared" si="19"/>
        <v/>
      </c>
      <c r="C254" s="42">
        <f t="shared" si="23"/>
        <v>253</v>
      </c>
      <c r="D254" s="38"/>
      <c r="E254" s="38"/>
      <c r="F254" s="38"/>
      <c r="G254" s="38"/>
      <c r="H254" s="38"/>
      <c r="I254" s="38" t="s">
        <v>9</v>
      </c>
      <c r="J254" s="38"/>
      <c r="K254" s="14" t="s">
        <v>52</v>
      </c>
      <c r="L254" s="14" t="s">
        <v>27</v>
      </c>
      <c r="M254" s="20" t="s">
        <v>726</v>
      </c>
      <c r="N254" s="14" t="s">
        <v>727</v>
      </c>
      <c r="O254" s="43">
        <v>64</v>
      </c>
      <c r="R254" s="38" t="s">
        <v>103</v>
      </c>
      <c r="S254" s="38"/>
      <c r="T254" s="38"/>
      <c r="W254" s="15" t="s">
        <v>103</v>
      </c>
      <c r="Z254" s="59" t="str">
        <f>IF(OR($M254="",NOT($O254="{array}")),"",IFERROR(MATCH(PARAMETERS!$M254,DEFAULT!$B$5:$BZ$5,0),""))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IF($AA254="","",IF($B254="I",VLOOKUP($AA254,#REF!,53,0),INDEX(VALUES!$B$1:$AO$1,1,$AA254)))</f>
        <v/>
      </c>
    </row>
    <row r="255" spans="1:29" hidden="1" outlineLevel="1" x14ac:dyDescent="0.3">
      <c r="A255" s="22" t="s">
        <v>83</v>
      </c>
      <c r="B255" s="41" t="str">
        <f t="shared" si="19"/>
        <v/>
      </c>
      <c r="C255" s="42">
        <f t="shared" si="23"/>
        <v>254</v>
      </c>
      <c r="D255" s="38"/>
      <c r="E255" s="38"/>
      <c r="F255" s="38" t="s">
        <v>9</v>
      </c>
      <c r="G255" s="38"/>
      <c r="H255" s="38"/>
      <c r="I255" s="38" t="s">
        <v>9</v>
      </c>
      <c r="J255" s="38"/>
      <c r="K255" s="14" t="s">
        <v>53</v>
      </c>
      <c r="L255" s="14" t="s">
        <v>27</v>
      </c>
      <c r="M255" s="20" t="s">
        <v>728</v>
      </c>
      <c r="N255" s="14" t="s">
        <v>723</v>
      </c>
      <c r="O255" s="43">
        <v>2</v>
      </c>
      <c r="R255" s="38" t="s">
        <v>103</v>
      </c>
      <c r="S255" s="38"/>
      <c r="T255" s="38"/>
      <c r="W255" s="15" t="s">
        <v>103</v>
      </c>
      <c r="Z255" s="59" t="str">
        <f>IF(OR($M255="",NOT($O255="{array}")),"",IFERROR(MATCH(PARAMETERS!$M255,DEFAULT!$B$5:$BZ$5,0),""))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IF($AA255="","",IF($B255="I",VLOOKUP($AA255,#REF!,53,0),INDEX(VALUES!$B$1:$AO$1,1,$AA255)))</f>
        <v/>
      </c>
    </row>
    <row r="256" spans="1:29" hidden="1" outlineLevel="1" x14ac:dyDescent="0.3">
      <c r="A256" s="22" t="s">
        <v>83</v>
      </c>
      <c r="B256" s="41" t="str">
        <f t="shared" si="19"/>
        <v/>
      </c>
      <c r="C256" s="42">
        <f t="shared" si="23"/>
        <v>255</v>
      </c>
      <c r="D256" s="38"/>
      <c r="E256" s="38"/>
      <c r="F256" s="38"/>
      <c r="G256" s="38"/>
      <c r="H256" s="38"/>
      <c r="I256" s="38" t="s">
        <v>9</v>
      </c>
      <c r="J256" s="38"/>
      <c r="K256" s="14" t="s">
        <v>53</v>
      </c>
      <c r="L256" s="14" t="s">
        <v>27</v>
      </c>
      <c r="M256" s="20" t="s">
        <v>729</v>
      </c>
      <c r="N256" s="14" t="s">
        <v>730</v>
      </c>
      <c r="O256" s="43">
        <v>19</v>
      </c>
      <c r="R256" s="38" t="s">
        <v>103</v>
      </c>
      <c r="S256" s="38"/>
      <c r="T256" s="38"/>
      <c r="W256" s="15" t="s">
        <v>103</v>
      </c>
      <c r="Z256" s="59" t="str">
        <f>IF(OR($M256="",NOT($O256="{array}")),"",IFERROR(MATCH(PARAMETERS!$M256,DEFAULT!$B$5:$BZ$5,0),""))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IF($AA256="","",IF($B256="I",VLOOKUP($AA256,#REF!,53,0),INDEX(VALUES!$B$1:$AO$1,1,$AA256)))</f>
        <v/>
      </c>
    </row>
    <row r="257" spans="1:29" collapsed="1" x14ac:dyDescent="0.3">
      <c r="A257" s="22" t="s">
        <v>210</v>
      </c>
      <c r="B257" s="41"/>
      <c r="C257" s="42"/>
      <c r="D257" s="38"/>
      <c r="E257" s="38"/>
      <c r="F257" s="38"/>
      <c r="G257" s="38"/>
      <c r="H257" s="38"/>
      <c r="I257" s="38"/>
      <c r="J257" s="38"/>
      <c r="L257" s="146"/>
      <c r="R257" s="38"/>
      <c r="S257" s="38"/>
      <c r="T257" s="38"/>
      <c r="Z257" s="59" t="str">
        <f>IF(OR($M257="",NOT($O257="{array}")),"",IFERROR(MATCH(PARAMETERS!$M257,DEFAULT!$B$5:$BZ$5,0),""))</f>
        <v/>
      </c>
      <c r="AA257" s="56" t="str">
        <f t="shared" ref="AA257:AA273" si="24">IF($M257="","",IFERROR(MATCH($M257,VALUESnames,0),""))</f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IF($AA257="","",IF($B257="I",VLOOKUP($AA257,#REF!,53,0),INDEX(VALUES!$B$1:$AO$1,1,$AA257)))</f>
        <v/>
      </c>
    </row>
    <row r="258" spans="1:29" hidden="1" outlineLevel="1" x14ac:dyDescent="0.3">
      <c r="A258" s="22" t="s">
        <v>83</v>
      </c>
      <c r="B258" s="41" t="str">
        <f t="shared" ref="B258:B303" si="25">IF($A258="P",IF(NOT($Z258=""),"A",IF(NOT($AA258=""),"I","")),IF(NOT($AA258=""),IF($A258="G","V","X"),IF(NOT($Z258=""),"A","")))</f>
        <v/>
      </c>
      <c r="C258" s="42">
        <f>(ROW()-1)</f>
        <v>257</v>
      </c>
      <c r="D258" s="38"/>
      <c r="E258" s="38"/>
      <c r="F258" s="38"/>
      <c r="G258" s="38"/>
      <c r="H258" s="38"/>
      <c r="I258" s="38"/>
      <c r="J258" s="38"/>
      <c r="K258" s="53" t="s">
        <v>57</v>
      </c>
      <c r="L258" s="53" t="s">
        <v>38</v>
      </c>
      <c r="M258" s="147" t="s">
        <v>211</v>
      </c>
      <c r="N258" s="148" t="s">
        <v>212</v>
      </c>
      <c r="O258" s="149"/>
      <c r="R258" s="38" t="s">
        <v>197</v>
      </c>
      <c r="S258" s="38"/>
      <c r="T258" s="38"/>
      <c r="Z258" s="59" t="str">
        <f>IF(OR($M258="",NOT($O258="{array}")),"",IFERROR(MATCH(PARAMETERS!$M258,DEFAULT!$B$5:$BZ$5,0),""))</f>
        <v/>
      </c>
      <c r="AA258" s="56" t="str">
        <f t="shared" si="24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IF($AA258="","",IF($B258="I",VLOOKUP($AA258,#REF!,53,0),INDEX(VALUES!$B$1:$AO$1,1,$AA258)))</f>
        <v/>
      </c>
    </row>
    <row r="259" spans="1:29" hidden="1" outlineLevel="1" x14ac:dyDescent="0.3">
      <c r="A259" s="22" t="s">
        <v>83</v>
      </c>
      <c r="B259" s="41" t="str">
        <f t="shared" si="25"/>
        <v/>
      </c>
      <c r="C259" s="42">
        <f>(ROW()-1)</f>
        <v>258</v>
      </c>
      <c r="D259" s="38"/>
      <c r="E259" s="38"/>
      <c r="F259" s="38"/>
      <c r="G259" s="38"/>
      <c r="H259" s="38"/>
      <c r="I259" s="38" t="s">
        <v>9</v>
      </c>
      <c r="J259" s="38"/>
      <c r="K259" s="53" t="s">
        <v>44</v>
      </c>
      <c r="L259" s="53" t="s">
        <v>32</v>
      </c>
      <c r="M259" s="216" t="s">
        <v>213</v>
      </c>
      <c r="N259" s="53" t="s">
        <v>214</v>
      </c>
      <c r="O259" s="149">
        <v>0</v>
      </c>
      <c r="R259" s="38" t="s">
        <v>197</v>
      </c>
      <c r="S259" s="38"/>
      <c r="T259" s="38"/>
      <c r="Z259" s="59" t="str">
        <f>IF(OR($M259="",NOT($O259="{array}")),"",IFERROR(MATCH(PARAMETERS!$M259,DEFAULT!$B$5:$BZ$5,0),""))</f>
        <v/>
      </c>
      <c r="AA259" s="56" t="str">
        <f t="shared" si="24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IF($AA259="","",IF($B259="I",VLOOKUP($AA259,#REF!,53,0),INDEX(VALUES!$B$1:$AO$1,1,$AA259)))</f>
        <v/>
      </c>
    </row>
    <row r="260" spans="1:29" hidden="1" outlineLevel="1" x14ac:dyDescent="0.3">
      <c r="A260" s="22" t="s">
        <v>83</v>
      </c>
      <c r="B260" s="41" t="str">
        <f t="shared" si="25"/>
        <v/>
      </c>
      <c r="C260" s="42">
        <f>(ROW()-1)</f>
        <v>259</v>
      </c>
      <c r="D260" s="38"/>
      <c r="E260" s="38"/>
      <c r="F260" s="38"/>
      <c r="G260" s="38"/>
      <c r="H260" s="38"/>
      <c r="I260" s="38" t="s">
        <v>9</v>
      </c>
      <c r="J260" s="38"/>
      <c r="K260" s="53" t="s">
        <v>44</v>
      </c>
      <c r="L260" s="53" t="s">
        <v>32</v>
      </c>
      <c r="M260" s="216" t="s">
        <v>215</v>
      </c>
      <c r="N260" s="53" t="s">
        <v>216</v>
      </c>
      <c r="O260" s="149">
        <v>0</v>
      </c>
      <c r="R260" s="38" t="s">
        <v>197</v>
      </c>
      <c r="S260" s="38"/>
      <c r="T260" s="38"/>
      <c r="Z260" s="59" t="str">
        <f>IF(OR($M260="",NOT($O260="{array}")),"",IFERROR(MATCH(PARAMETERS!$M260,DEFAULT!$B$5:$BZ$5,0),""))</f>
        <v/>
      </c>
      <c r="AA260" s="56" t="str">
        <f t="shared" si="24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IF($AA260="","",IF($B260="I",VLOOKUP($AA260,#REF!,53,0),INDEX(VALUES!$B$1:$AO$1,1,$AA260)))</f>
        <v/>
      </c>
    </row>
    <row r="261" spans="1:29" collapsed="1" x14ac:dyDescent="0.3">
      <c r="A261" s="22" t="s">
        <v>83</v>
      </c>
      <c r="B261" s="41" t="str">
        <f t="shared" si="25"/>
        <v/>
      </c>
      <c r="C261" s="42">
        <f t="shared" ref="C261:C291" si="26">(ROW()-1)</f>
        <v>260</v>
      </c>
      <c r="D261" s="38"/>
      <c r="E261" s="38"/>
      <c r="F261" s="38"/>
      <c r="G261" s="38"/>
      <c r="H261" s="38"/>
      <c r="I261" s="38"/>
      <c r="J261" s="38"/>
      <c r="K261" s="53" t="s">
        <v>57</v>
      </c>
      <c r="L261" s="53" t="s">
        <v>38</v>
      </c>
      <c r="M261" s="147" t="s">
        <v>217</v>
      </c>
      <c r="N261" s="148" t="s">
        <v>218</v>
      </c>
      <c r="O261" s="149"/>
      <c r="R261" s="38" t="s">
        <v>197</v>
      </c>
      <c r="S261" s="38"/>
      <c r="T261" s="38"/>
      <c r="Z261" s="59" t="str">
        <f>IF(OR($M261="",NOT($O261="{array}")),"",IFERROR(MATCH(PARAMETERS!$M261,DEFAULT!$B$5:$BZ$5,0),""))</f>
        <v/>
      </c>
      <c r="AA261" s="56" t="str">
        <f t="shared" si="24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IF($AA261="","",IF($B261="I",VLOOKUP($AA261,#REF!,53,0),INDEX(VALUES!$B$1:$AO$1,1,$AA261)))</f>
        <v/>
      </c>
    </row>
    <row r="262" spans="1:29" hidden="1" outlineLevel="1" x14ac:dyDescent="0.3">
      <c r="A262" s="22" t="s">
        <v>83</v>
      </c>
      <c r="B262" s="41" t="str">
        <f t="shared" si="25"/>
        <v/>
      </c>
      <c r="C262" s="42">
        <f t="shared" si="26"/>
        <v>261</v>
      </c>
      <c r="D262" s="38"/>
      <c r="E262" s="38"/>
      <c r="F262" s="38"/>
      <c r="G262" s="38"/>
      <c r="H262" s="38"/>
      <c r="I262" s="38" t="s">
        <v>9</v>
      </c>
      <c r="J262" s="38"/>
      <c r="K262" s="53" t="s">
        <v>18</v>
      </c>
      <c r="L262" s="53" t="s">
        <v>32</v>
      </c>
      <c r="M262" s="216" t="s">
        <v>219</v>
      </c>
      <c r="N262" s="53" t="s">
        <v>220</v>
      </c>
      <c r="O262" s="149" t="s">
        <v>221</v>
      </c>
      <c r="R262" s="38" t="s">
        <v>197</v>
      </c>
      <c r="S262" s="38"/>
      <c r="T262" s="38"/>
      <c r="Z262" s="59" t="str">
        <f>IF(OR($M262="",NOT($O262="{array}")),"",IFERROR(MATCH(PARAMETERS!$M262,DEFAULT!$B$5:$BZ$5,0),""))</f>
        <v/>
      </c>
      <c r="AA262" s="56" t="str">
        <f t="shared" si="24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IF($AA262="","",IF($B262="I",VLOOKUP($AA262,#REF!,53,0),INDEX(VALUES!$B$1:$AO$1,1,$AA262)))</f>
        <v/>
      </c>
    </row>
    <row r="263" spans="1:29" hidden="1" outlineLevel="1" x14ac:dyDescent="0.3">
      <c r="A263" s="22" t="s">
        <v>83</v>
      </c>
      <c r="B263" s="41" t="str">
        <f t="shared" si="25"/>
        <v/>
      </c>
      <c r="C263" s="42">
        <f t="shared" si="26"/>
        <v>262</v>
      </c>
      <c r="D263" s="38"/>
      <c r="E263" s="38"/>
      <c r="F263" s="38"/>
      <c r="G263" s="38"/>
      <c r="H263" s="38"/>
      <c r="I263" s="38" t="s">
        <v>9</v>
      </c>
      <c r="J263" s="38"/>
      <c r="K263" s="53" t="s">
        <v>18</v>
      </c>
      <c r="L263" s="53" t="s">
        <v>32</v>
      </c>
      <c r="M263" s="216" t="s">
        <v>222</v>
      </c>
      <c r="N263" s="53" t="s">
        <v>223</v>
      </c>
      <c r="O263" s="149" t="s">
        <v>221</v>
      </c>
      <c r="R263" s="38" t="s">
        <v>197</v>
      </c>
      <c r="S263" s="38"/>
      <c r="T263" s="38"/>
      <c r="Z263" s="59" t="str">
        <f>IF(OR($M263="",NOT($O263="{array}")),"",IFERROR(MATCH(PARAMETERS!$M263,DEFAULT!$B$5:$BZ$5,0),""))</f>
        <v/>
      </c>
      <c r="AA263" s="56" t="str">
        <f t="shared" si="24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IF($AA263="","",IF($B263="I",VLOOKUP($AA263,#REF!,53,0),INDEX(VALUES!$B$1:$AO$1,1,$AA263)))</f>
        <v/>
      </c>
    </row>
    <row r="264" spans="1:29" hidden="1" outlineLevel="1" x14ac:dyDescent="0.3">
      <c r="A264" s="22" t="s">
        <v>83</v>
      </c>
      <c r="B264" s="41" t="str">
        <f t="shared" si="25"/>
        <v/>
      </c>
      <c r="C264" s="42">
        <f t="shared" si="26"/>
        <v>263</v>
      </c>
      <c r="D264" s="38"/>
      <c r="E264" s="38"/>
      <c r="F264" s="38"/>
      <c r="G264" s="38"/>
      <c r="H264" s="38"/>
      <c r="I264" s="38" t="s">
        <v>9</v>
      </c>
      <c r="J264" s="38"/>
      <c r="K264" s="53" t="s">
        <v>18</v>
      </c>
      <c r="L264" s="53" t="s">
        <v>32</v>
      </c>
      <c r="M264" s="216" t="s">
        <v>224</v>
      </c>
      <c r="N264" s="53" t="s">
        <v>225</v>
      </c>
      <c r="O264" s="149" t="s">
        <v>221</v>
      </c>
      <c r="R264" s="38" t="s">
        <v>197</v>
      </c>
      <c r="S264" s="38"/>
      <c r="T264" s="38"/>
      <c r="Z264" s="59" t="str">
        <f>IF(OR($M264="",NOT($O264="{array}")),"",IFERROR(MATCH(PARAMETERS!$M264,DEFAULT!$B$5:$BZ$5,0),""))</f>
        <v/>
      </c>
      <c r="AA264" s="56" t="str">
        <f t="shared" si="24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IF($AA264="","",IF($B264="I",VLOOKUP($AA264,#REF!,53,0),INDEX(VALUES!$B$1:$AO$1,1,$AA264)))</f>
        <v/>
      </c>
    </row>
    <row r="265" spans="1:29" hidden="1" outlineLevel="1" x14ac:dyDescent="0.3">
      <c r="A265" s="22" t="s">
        <v>83</v>
      </c>
      <c r="B265" s="41" t="str">
        <f t="shared" si="25"/>
        <v/>
      </c>
      <c r="C265" s="42">
        <f t="shared" si="26"/>
        <v>264</v>
      </c>
      <c r="D265" s="38"/>
      <c r="E265" s="38"/>
      <c r="F265" s="38"/>
      <c r="G265" s="38"/>
      <c r="H265" s="38"/>
      <c r="I265" s="38" t="s">
        <v>9</v>
      </c>
      <c r="J265" s="38"/>
      <c r="K265" s="53" t="s">
        <v>18</v>
      </c>
      <c r="L265" s="53" t="s">
        <v>32</v>
      </c>
      <c r="M265" s="216" t="s">
        <v>226</v>
      </c>
      <c r="N265" s="53" t="s">
        <v>227</v>
      </c>
      <c r="O265" s="149" t="s">
        <v>228</v>
      </c>
      <c r="R265" s="38" t="s">
        <v>197</v>
      </c>
      <c r="S265" s="38"/>
      <c r="T265" s="38"/>
      <c r="Z265" s="59" t="str">
        <f>IF(OR($M265="",NOT($O265="{array}")),"",IFERROR(MATCH(PARAMETERS!$M265,DEFAULT!$B$5:$BZ$5,0),""))</f>
        <v/>
      </c>
      <c r="AA265" s="56" t="str">
        <f t="shared" si="24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IF($AA265="","",IF($B265="I",VLOOKUP($AA265,#REF!,53,0),INDEX(VALUES!$B$1:$AO$1,1,$AA265)))</f>
        <v/>
      </c>
    </row>
    <row r="266" spans="1:29" hidden="1" outlineLevel="1" x14ac:dyDescent="0.3">
      <c r="A266" s="22" t="s">
        <v>83</v>
      </c>
      <c r="B266" s="41" t="str">
        <f t="shared" si="25"/>
        <v/>
      </c>
      <c r="C266" s="42">
        <f t="shared" si="26"/>
        <v>265</v>
      </c>
      <c r="D266" s="38"/>
      <c r="E266" s="38"/>
      <c r="F266" s="38"/>
      <c r="G266" s="38"/>
      <c r="H266" s="38"/>
      <c r="I266" s="38" t="s">
        <v>9</v>
      </c>
      <c r="J266" s="38"/>
      <c r="K266" s="53" t="s">
        <v>18</v>
      </c>
      <c r="L266" s="53" t="s">
        <v>32</v>
      </c>
      <c r="M266" s="216" t="s">
        <v>229</v>
      </c>
      <c r="N266" s="53" t="s">
        <v>230</v>
      </c>
      <c r="O266" s="149" t="s">
        <v>231</v>
      </c>
      <c r="R266" s="38" t="s">
        <v>197</v>
      </c>
      <c r="S266" s="38"/>
      <c r="T266" s="38"/>
      <c r="Z266" s="59" t="str">
        <f>IF(OR($M266="",NOT($O266="{array}")),"",IFERROR(MATCH(PARAMETERS!$M266,DEFAULT!$B$5:$BZ$5,0),""))</f>
        <v/>
      </c>
      <c r="AA266" s="56" t="str">
        <f t="shared" si="24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IF($AA266="","",IF($B266="I",VLOOKUP($AA266,#REF!,53,0),INDEX(VALUES!$B$1:$AO$1,1,$AA266)))</f>
        <v/>
      </c>
    </row>
    <row r="267" spans="1:29" hidden="1" outlineLevel="1" x14ac:dyDescent="0.3">
      <c r="A267" s="22" t="s">
        <v>83</v>
      </c>
      <c r="B267" s="41" t="str">
        <f t="shared" si="25"/>
        <v/>
      </c>
      <c r="C267" s="42">
        <f t="shared" si="26"/>
        <v>266</v>
      </c>
      <c r="D267" s="38"/>
      <c r="E267" s="38"/>
      <c r="F267" s="38"/>
      <c r="G267" s="38"/>
      <c r="H267" s="38"/>
      <c r="I267" s="38" t="s">
        <v>9</v>
      </c>
      <c r="J267" s="38"/>
      <c r="K267" s="53" t="s">
        <v>18</v>
      </c>
      <c r="L267" s="53" t="s">
        <v>32</v>
      </c>
      <c r="M267" s="216" t="s">
        <v>232</v>
      </c>
      <c r="N267" s="53" t="s">
        <v>233</v>
      </c>
      <c r="O267" s="149" t="s">
        <v>221</v>
      </c>
      <c r="R267" s="38" t="s">
        <v>197</v>
      </c>
      <c r="S267" s="38"/>
      <c r="T267" s="38"/>
      <c r="Z267" s="59" t="str">
        <f>IF(OR($M267="",NOT($O267="{array}")),"",IFERROR(MATCH(PARAMETERS!$M267,DEFAULT!$B$5:$BZ$5,0),""))</f>
        <v/>
      </c>
      <c r="AA267" s="56" t="str">
        <f t="shared" si="24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IF($AA267="","",IF($B267="I",VLOOKUP($AA267,#REF!,53,0),INDEX(VALUES!$B$1:$AO$1,1,$AA267)))</f>
        <v/>
      </c>
    </row>
    <row r="268" spans="1:29" hidden="1" outlineLevel="1" x14ac:dyDescent="0.3">
      <c r="A268" s="22" t="s">
        <v>83</v>
      </c>
      <c r="B268" s="41" t="str">
        <f t="shared" si="25"/>
        <v/>
      </c>
      <c r="C268" s="42">
        <f t="shared" si="26"/>
        <v>267</v>
      </c>
      <c r="D268" s="38"/>
      <c r="E268" s="38"/>
      <c r="F268" s="38"/>
      <c r="G268" s="38"/>
      <c r="H268" s="38"/>
      <c r="I268" s="38" t="s">
        <v>9</v>
      </c>
      <c r="J268" s="38"/>
      <c r="K268" s="53" t="s">
        <v>18</v>
      </c>
      <c r="L268" s="53" t="s">
        <v>32</v>
      </c>
      <c r="M268" s="216" t="s">
        <v>234</v>
      </c>
      <c r="N268" s="53" t="s">
        <v>235</v>
      </c>
      <c r="O268" s="149" t="s">
        <v>236</v>
      </c>
      <c r="R268" s="38" t="s">
        <v>197</v>
      </c>
      <c r="S268" s="38"/>
      <c r="T268" s="38"/>
      <c r="Z268" s="59" t="str">
        <f>IF(OR($M268="",NOT($O268="{array}")),"",IFERROR(MATCH(PARAMETERS!$M268,DEFAULT!$B$5:$BZ$5,0),""))</f>
        <v/>
      </c>
      <c r="AA268" s="56" t="str">
        <f t="shared" si="24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IF($AA268="","",IF($B268="I",VLOOKUP($AA268,#REF!,53,0),INDEX(VALUES!$B$1:$AO$1,1,$AA268)))</f>
        <v/>
      </c>
    </row>
    <row r="269" spans="1:29" hidden="1" outlineLevel="1" x14ac:dyDescent="0.3">
      <c r="A269" s="22" t="s">
        <v>83</v>
      </c>
      <c r="B269" s="41" t="str">
        <f t="shared" si="25"/>
        <v/>
      </c>
      <c r="C269" s="42">
        <f t="shared" si="26"/>
        <v>268</v>
      </c>
      <c r="D269" s="38"/>
      <c r="E269" s="38"/>
      <c r="F269" s="38"/>
      <c r="G269" s="38"/>
      <c r="H269" s="38"/>
      <c r="I269" s="38" t="s">
        <v>9</v>
      </c>
      <c r="J269" s="38"/>
      <c r="K269" s="53" t="s">
        <v>18</v>
      </c>
      <c r="L269" s="53" t="s">
        <v>32</v>
      </c>
      <c r="M269" s="216" t="s">
        <v>237</v>
      </c>
      <c r="N269" s="53" t="s">
        <v>238</v>
      </c>
      <c r="O269" s="149" t="s">
        <v>221</v>
      </c>
      <c r="R269" s="38" t="s">
        <v>197</v>
      </c>
      <c r="S269" s="38"/>
      <c r="T269" s="38"/>
      <c r="Z269" s="59" t="str">
        <f>IF(OR($M269="",NOT($O269="{array}")),"",IFERROR(MATCH(PARAMETERS!$M269,DEFAULT!$B$5:$BZ$5,0),""))</f>
        <v/>
      </c>
      <c r="AA269" s="56" t="str">
        <f t="shared" si="24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IF($AA269="","",IF($B269="I",VLOOKUP($AA269,#REF!,53,0),INDEX(VALUES!$B$1:$AO$1,1,$AA269)))</f>
        <v/>
      </c>
    </row>
    <row r="270" spans="1:29" hidden="1" outlineLevel="1" x14ac:dyDescent="0.3">
      <c r="A270" s="22" t="s">
        <v>83</v>
      </c>
      <c r="B270" s="41" t="str">
        <f t="shared" si="25"/>
        <v/>
      </c>
      <c r="C270" s="42">
        <f t="shared" si="26"/>
        <v>269</v>
      </c>
      <c r="D270" s="38"/>
      <c r="E270" s="38"/>
      <c r="F270" s="38"/>
      <c r="G270" s="38"/>
      <c r="H270" s="38"/>
      <c r="I270" s="38" t="s">
        <v>9</v>
      </c>
      <c r="J270" s="38"/>
      <c r="K270" s="53" t="s">
        <v>18</v>
      </c>
      <c r="L270" s="53" t="s">
        <v>32</v>
      </c>
      <c r="M270" s="216" t="s">
        <v>239</v>
      </c>
      <c r="N270" s="53" t="s">
        <v>240</v>
      </c>
      <c r="O270" s="149" t="s">
        <v>221</v>
      </c>
      <c r="R270" s="38" t="s">
        <v>197</v>
      </c>
      <c r="S270" s="38"/>
      <c r="T270" s="38"/>
      <c r="Z270" s="59" t="str">
        <f>IF(OR($M270="",NOT($O270="{array}")),"",IFERROR(MATCH(PARAMETERS!$M270,DEFAULT!$B$5:$BZ$5,0),""))</f>
        <v/>
      </c>
      <c r="AA270" s="56" t="str">
        <f t="shared" si="24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IF($AA270="","",IF($B270="I",VLOOKUP($AA270,#REF!,53,0),INDEX(VALUES!$B$1:$AO$1,1,$AA270)))</f>
        <v/>
      </c>
    </row>
    <row r="271" spans="1:29" hidden="1" outlineLevel="1" x14ac:dyDescent="0.3">
      <c r="A271" s="22" t="s">
        <v>83</v>
      </c>
      <c r="B271" s="41" t="str">
        <f t="shared" si="25"/>
        <v/>
      </c>
      <c r="C271" s="42">
        <f t="shared" si="26"/>
        <v>270</v>
      </c>
      <c r="D271" s="38"/>
      <c r="E271" s="38"/>
      <c r="F271" s="38"/>
      <c r="G271" s="38"/>
      <c r="H271" s="38"/>
      <c r="I271" s="38" t="s">
        <v>9</v>
      </c>
      <c r="J271" s="38"/>
      <c r="K271" s="53" t="s">
        <v>18</v>
      </c>
      <c r="L271" s="53" t="s">
        <v>32</v>
      </c>
      <c r="M271" s="216" t="s">
        <v>241</v>
      </c>
      <c r="N271" s="53" t="s">
        <v>242</v>
      </c>
      <c r="O271" s="149" t="s">
        <v>221</v>
      </c>
      <c r="R271" s="38" t="s">
        <v>197</v>
      </c>
      <c r="S271" s="38"/>
      <c r="T271" s="38"/>
      <c r="Z271" s="59" t="str">
        <f>IF(OR($M271="",NOT($O271="{array}")),"",IFERROR(MATCH(PARAMETERS!$M271,DEFAULT!$B$5:$BZ$5,0),""))</f>
        <v/>
      </c>
      <c r="AA271" s="56" t="str">
        <f t="shared" si="24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IF($AA271="","",IF($B271="I",VLOOKUP($AA271,#REF!,53,0),INDEX(VALUES!$B$1:$AO$1,1,$AA271)))</f>
        <v/>
      </c>
    </row>
    <row r="272" spans="1:29" collapsed="1" x14ac:dyDescent="0.3">
      <c r="A272" s="22" t="s">
        <v>83</v>
      </c>
      <c r="B272" s="41" t="str">
        <f t="shared" si="25"/>
        <v/>
      </c>
      <c r="C272" s="42">
        <f t="shared" si="26"/>
        <v>271</v>
      </c>
      <c r="D272" s="38"/>
      <c r="E272" s="38"/>
      <c r="F272" s="38" t="s">
        <v>9</v>
      </c>
      <c r="G272" s="38" t="s">
        <v>9</v>
      </c>
      <c r="H272" s="38"/>
      <c r="I272" s="38"/>
      <c r="J272" s="38"/>
      <c r="K272" s="14" t="s">
        <v>57</v>
      </c>
      <c r="L272" s="14" t="s">
        <v>38</v>
      </c>
      <c r="M272" s="48" t="s">
        <v>243</v>
      </c>
      <c r="N272" s="41" t="s">
        <v>244</v>
      </c>
      <c r="R272" s="38" t="s">
        <v>103</v>
      </c>
      <c r="S272" s="38"/>
      <c r="T272" s="38"/>
      <c r="Z272" s="59" t="str">
        <f>IF(OR($M272="",NOT($O272="{array}")),"",IFERROR(MATCH(PARAMETERS!$M272,DEFAULT!$B$5:$BZ$5,0),""))</f>
        <v/>
      </c>
      <c r="AA272" s="56" t="str">
        <f t="shared" si="24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IF($AA272="","",IF($B272="I",VLOOKUP($AA272,#REF!,53,0),INDEX(VALUES!$B$1:$AO$1,1,$AA272)))</f>
        <v/>
      </c>
    </row>
    <row r="273" spans="1:29" outlineLevel="1" x14ac:dyDescent="0.3">
      <c r="A273" s="22"/>
      <c r="B273" s="41" t="str">
        <f t="shared" si="25"/>
        <v/>
      </c>
      <c r="C273" s="42">
        <f t="shared" si="26"/>
        <v>272</v>
      </c>
      <c r="D273" s="38"/>
      <c r="E273" s="38"/>
      <c r="F273" s="38"/>
      <c r="G273" s="38" t="s">
        <v>9</v>
      </c>
      <c r="H273" s="38"/>
      <c r="I273" s="38" t="s">
        <v>9</v>
      </c>
      <c r="J273" s="38"/>
      <c r="K273" s="14" t="s">
        <v>18</v>
      </c>
      <c r="L273" s="14" t="s">
        <v>38</v>
      </c>
      <c r="M273" s="20" t="s">
        <v>245</v>
      </c>
      <c r="N273" s="14" t="s">
        <v>246</v>
      </c>
      <c r="O273" s="43" t="s">
        <v>247</v>
      </c>
      <c r="R273" s="38" t="s">
        <v>103</v>
      </c>
      <c r="S273" s="38"/>
      <c r="T273" s="38"/>
      <c r="Z273" s="59" t="str">
        <f>IF(OR($M273="",NOT($O273="{array}")),"",IFERROR(MATCH(PARAMETERS!$M273,DEFAULT!$B$5:$BZ$5,0),""))</f>
        <v/>
      </c>
      <c r="AA273" s="56" t="str">
        <f t="shared" si="24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IF($AA273="","",IF($B273="I",VLOOKUP($AA273,#REF!,53,0),INDEX(VALUES!$B$1:$AO$1,1,$AA273)))</f>
        <v/>
      </c>
    </row>
    <row r="274" spans="1:29" outlineLevel="1" x14ac:dyDescent="0.3">
      <c r="A274" s="22" t="s">
        <v>83</v>
      </c>
      <c r="B274" s="41" t="str">
        <f t="shared" si="25"/>
        <v/>
      </c>
      <c r="C274" s="42">
        <f t="shared" si="26"/>
        <v>273</v>
      </c>
      <c r="D274" s="38"/>
      <c r="E274" s="38"/>
      <c r="F274" s="38"/>
      <c r="G274" s="38"/>
      <c r="H274" s="38"/>
      <c r="I274" s="38" t="s">
        <v>9</v>
      </c>
      <c r="J274" s="38"/>
      <c r="K274" s="53" t="s">
        <v>44</v>
      </c>
      <c r="L274" s="53" t="s">
        <v>32</v>
      </c>
      <c r="M274" s="216" t="s">
        <v>248</v>
      </c>
      <c r="N274" s="53" t="s">
        <v>249</v>
      </c>
      <c r="O274" s="149">
        <v>1</v>
      </c>
      <c r="R274" s="38" t="s">
        <v>197</v>
      </c>
      <c r="S274" s="38"/>
      <c r="T274" s="38"/>
      <c r="Z274" s="59" t="str">
        <f>IF(OR($M274="",NOT($O274="{array}")),"",IFERROR(MATCH(PARAMETERS!$M274,DEFAULT!$B$5:$BZ$5,0),""))</f>
        <v/>
      </c>
      <c r="AA274" s="56" t="str">
        <f t="shared" ref="AA274:AA302" si="27">IF($M274="","",IFERROR(MATCH($M274,VALUESnames,0),""))</f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IF($AA274="","",IF($B274="I",VLOOKUP($AA274,#REF!,53,0),INDEX(VALUES!$B$1:$AO$1,1,$AA274)))</f>
        <v/>
      </c>
    </row>
    <row r="275" spans="1:29" outlineLevel="1" x14ac:dyDescent="0.3">
      <c r="A275" s="22" t="s">
        <v>83</v>
      </c>
      <c r="B275" s="41" t="str">
        <f t="shared" si="25"/>
        <v>V</v>
      </c>
      <c r="C275" s="42">
        <f t="shared" si="26"/>
        <v>274</v>
      </c>
      <c r="D275" s="38"/>
      <c r="E275" s="38"/>
      <c r="F275" s="38"/>
      <c r="G275" s="38"/>
      <c r="H275" s="38"/>
      <c r="I275" s="38" t="s">
        <v>9</v>
      </c>
      <c r="J275" s="38"/>
      <c r="K275" s="53" t="s">
        <v>44</v>
      </c>
      <c r="L275" s="53" t="s">
        <v>32</v>
      </c>
      <c r="M275" s="192" t="s">
        <v>177</v>
      </c>
      <c r="N275" s="53" t="s">
        <v>250</v>
      </c>
      <c r="O275" s="149">
        <v>1</v>
      </c>
      <c r="R275" s="38" t="s">
        <v>197</v>
      </c>
      <c r="S275" s="38"/>
      <c r="T275" s="38"/>
      <c r="Z275" s="59" t="str">
        <f>IF(OR($M275="",NOT($O275="{array}")),"",IFERROR(MATCH(PARAMETERS!$M275,DEFAULT!$B$5:$BZ$5,0),""))</f>
        <v/>
      </c>
      <c r="AA275" s="56">
        <f t="shared" si="27"/>
        <v>1</v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IF($AA275="","",IF($B275="I",VLOOKUP($AA275,#REF!,53,0),INDEX(VALUES!$B$1:$AO$1,1,$AA275)))</f>
        <v>1 | 4</v>
      </c>
    </row>
    <row r="276" spans="1:29" outlineLevel="1" x14ac:dyDescent="0.3">
      <c r="A276" s="22" t="s">
        <v>83</v>
      </c>
      <c r="B276" s="41" t="str">
        <f t="shared" si="25"/>
        <v/>
      </c>
      <c r="C276" s="42">
        <f t="shared" si="26"/>
        <v>275</v>
      </c>
      <c r="D276" s="38"/>
      <c r="E276" s="38"/>
      <c r="F276" s="38" t="s">
        <v>9</v>
      </c>
      <c r="G276" s="38" t="s">
        <v>9</v>
      </c>
      <c r="H276" s="38"/>
      <c r="I276" s="38" t="s">
        <v>9</v>
      </c>
      <c r="J276" s="38"/>
      <c r="K276" s="14" t="s">
        <v>44</v>
      </c>
      <c r="L276" s="14" t="s">
        <v>27</v>
      </c>
      <c r="M276" s="20" t="s">
        <v>251</v>
      </c>
      <c r="N276" s="14" t="s">
        <v>252</v>
      </c>
      <c r="O276" s="43">
        <v>1</v>
      </c>
      <c r="Q276" s="38" t="s">
        <v>9</v>
      </c>
      <c r="R276" s="38" t="s">
        <v>103</v>
      </c>
      <c r="S276" s="38"/>
      <c r="T276" s="38"/>
      <c r="Z276" s="59" t="str">
        <f>IF(OR($M276="",NOT($O276="{array}")),"",IFERROR(MATCH(PARAMETERS!$M276,DEFAULT!$B$5:$BZ$5,0),""))</f>
        <v/>
      </c>
      <c r="AA276" s="56" t="str">
        <f t="shared" si="27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IF($AA276="","",IF($B276="I",VLOOKUP($AA276,#REF!,53,0),INDEX(VALUES!$B$1:$AO$1,1,$AA276)))</f>
        <v/>
      </c>
    </row>
    <row r="277" spans="1:29" outlineLevel="1" x14ac:dyDescent="0.3">
      <c r="A277" s="22" t="s">
        <v>83</v>
      </c>
      <c r="B277" s="41" t="str">
        <f t="shared" si="25"/>
        <v/>
      </c>
      <c r="C277" s="42">
        <f t="shared" si="26"/>
        <v>276</v>
      </c>
      <c r="D277" s="38"/>
      <c r="E277" s="38"/>
      <c r="F277" s="38" t="s">
        <v>9</v>
      </c>
      <c r="G277" s="38" t="s">
        <v>9</v>
      </c>
      <c r="H277" s="38"/>
      <c r="I277" s="38" t="s">
        <v>9</v>
      </c>
      <c r="J277" s="38"/>
      <c r="K277" s="14" t="s">
        <v>44</v>
      </c>
      <c r="L277" s="14" t="s">
        <v>27</v>
      </c>
      <c r="M277" s="20" t="s">
        <v>253</v>
      </c>
      <c r="N277" s="14" t="s">
        <v>254</v>
      </c>
      <c r="O277" s="43">
        <v>1</v>
      </c>
      <c r="Q277" s="38" t="s">
        <v>9</v>
      </c>
      <c r="R277" s="38" t="s">
        <v>103</v>
      </c>
      <c r="S277" s="38"/>
      <c r="T277" s="38"/>
      <c r="Z277" s="59" t="str">
        <f>IF(OR($M277="",NOT($O277="{array}")),"",IFERROR(MATCH(PARAMETERS!$M277,DEFAULT!$B$5:$BZ$5,0),""))</f>
        <v/>
      </c>
      <c r="AA277" s="56" t="str">
        <f t="shared" si="27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IF($AA277="","",IF($B277="I",VLOOKUP($AA277,#REF!,53,0),INDEX(VALUES!$B$1:$AO$1,1,$AA277)))</f>
        <v/>
      </c>
    </row>
    <row r="278" spans="1:29" outlineLevel="1" x14ac:dyDescent="0.3">
      <c r="A278" s="22" t="s">
        <v>83</v>
      </c>
      <c r="B278" s="41" t="str">
        <f t="shared" si="25"/>
        <v/>
      </c>
      <c r="C278" s="42">
        <f t="shared" si="26"/>
        <v>277</v>
      </c>
      <c r="D278" s="38"/>
      <c r="E278" s="38"/>
      <c r="F278" s="38" t="s">
        <v>9</v>
      </c>
      <c r="G278" s="38" t="s">
        <v>9</v>
      </c>
      <c r="H278" s="38"/>
      <c r="I278" s="38" t="s">
        <v>9</v>
      </c>
      <c r="J278" s="38" t="s">
        <v>9</v>
      </c>
      <c r="K278" s="14" t="s">
        <v>44</v>
      </c>
      <c r="L278" s="14" t="s">
        <v>27</v>
      </c>
      <c r="M278" s="20" t="s">
        <v>255</v>
      </c>
      <c r="N278" s="14" t="s">
        <v>254</v>
      </c>
      <c r="O278" s="43">
        <v>1</v>
      </c>
      <c r="Q278" s="38" t="s">
        <v>9</v>
      </c>
      <c r="R278" s="38" t="s">
        <v>103</v>
      </c>
      <c r="S278" s="38"/>
      <c r="T278" s="38"/>
      <c r="Z278" s="59" t="str">
        <f>IF(OR($M278="",NOT($O278="{array}")),"",IFERROR(MATCH(PARAMETERS!$M278,DEFAULT!$B$5:$BZ$5,0),""))</f>
        <v/>
      </c>
      <c r="AA278" s="56" t="str">
        <f t="shared" si="27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IF($AA278="","",IF($B278="I",VLOOKUP($AA278,#REF!,53,0),INDEX(VALUES!$B$1:$AO$1,1,$AA278)))</f>
        <v/>
      </c>
    </row>
    <row r="279" spans="1:29" outlineLevel="1" x14ac:dyDescent="0.3">
      <c r="A279" s="22" t="s">
        <v>83</v>
      </c>
      <c r="B279" s="41" t="str">
        <f t="shared" si="25"/>
        <v/>
      </c>
      <c r="C279" s="42">
        <f t="shared" si="26"/>
        <v>278</v>
      </c>
      <c r="D279" s="38"/>
      <c r="E279" s="38"/>
      <c r="F279" s="38"/>
      <c r="G279" s="38" t="s">
        <v>9</v>
      </c>
      <c r="H279" s="38"/>
      <c r="I279" s="38" t="s">
        <v>9</v>
      </c>
      <c r="J279" s="38"/>
      <c r="K279" s="14" t="s">
        <v>44</v>
      </c>
      <c r="L279" s="14" t="s">
        <v>27</v>
      </c>
      <c r="M279" s="20" t="s">
        <v>256</v>
      </c>
      <c r="O279" s="43">
        <v>0</v>
      </c>
      <c r="Q279" s="38" t="s">
        <v>257</v>
      </c>
      <c r="R279" s="38" t="s">
        <v>103</v>
      </c>
      <c r="S279" s="38"/>
      <c r="T279" s="38"/>
      <c r="Z279" s="59" t="str">
        <f>IF(OR($M279="",NOT($O279="{array}")),"",IFERROR(MATCH(PARAMETERS!$M279,DEFAULT!$B$5:$BZ$5,0),""))</f>
        <v/>
      </c>
      <c r="AA279" s="56" t="str">
        <f t="shared" si="27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IF($AA279="","",IF($B279="I",VLOOKUP($AA279,#REF!,53,0),INDEX(VALUES!$B$1:$AO$1,1,$AA279)))</f>
        <v/>
      </c>
    </row>
    <row r="280" spans="1:29" outlineLevel="1" x14ac:dyDescent="0.3">
      <c r="A280" s="22" t="s">
        <v>83</v>
      </c>
      <c r="B280" s="41" t="str">
        <f t="shared" si="25"/>
        <v/>
      </c>
      <c r="C280" s="42">
        <f t="shared" si="26"/>
        <v>279</v>
      </c>
      <c r="D280" s="38"/>
      <c r="E280" s="38"/>
      <c r="F280" s="38"/>
      <c r="G280" s="38" t="s">
        <v>9</v>
      </c>
      <c r="H280" s="38"/>
      <c r="I280" s="38" t="s">
        <v>9</v>
      </c>
      <c r="J280" s="38"/>
      <c r="K280" s="14" t="s">
        <v>44</v>
      </c>
      <c r="L280" s="14" t="s">
        <v>27</v>
      </c>
      <c r="M280" s="20" t="s">
        <v>258</v>
      </c>
      <c r="O280" s="43">
        <v>1</v>
      </c>
      <c r="Q280" s="38" t="s">
        <v>257</v>
      </c>
      <c r="R280" s="38" t="s">
        <v>103</v>
      </c>
      <c r="S280" s="38"/>
      <c r="T280" s="38"/>
      <c r="Z280" s="59" t="str">
        <f>IF(OR($M280="",NOT($O280="{array}")),"",IFERROR(MATCH(PARAMETERS!$M280,DEFAULT!$B$5:$BZ$5,0),""))</f>
        <v/>
      </c>
      <c r="AA280" s="56" t="str">
        <f t="shared" si="27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IF($AA280="","",IF($B280="I",VLOOKUP($AA280,#REF!,53,0),INDEX(VALUES!$B$1:$AO$1,1,$AA280)))</f>
        <v/>
      </c>
    </row>
    <row r="281" spans="1:29" outlineLevel="1" x14ac:dyDescent="0.3">
      <c r="A281" s="22" t="s">
        <v>83</v>
      </c>
      <c r="B281" s="41" t="str">
        <f t="shared" si="25"/>
        <v/>
      </c>
      <c r="C281" s="42">
        <f t="shared" si="26"/>
        <v>280</v>
      </c>
      <c r="D281" s="38"/>
      <c r="E281" s="38"/>
      <c r="F281" s="38" t="s">
        <v>9</v>
      </c>
      <c r="G281" s="38" t="s">
        <v>9</v>
      </c>
      <c r="H281" s="38"/>
      <c r="I281" s="38" t="s">
        <v>9</v>
      </c>
      <c r="J281" s="38"/>
      <c r="K281" s="14" t="s">
        <v>18</v>
      </c>
      <c r="L281" s="14" t="s">
        <v>27</v>
      </c>
      <c r="M281" s="20" t="s">
        <v>259</v>
      </c>
      <c r="N281" s="14" t="s">
        <v>260</v>
      </c>
      <c r="Q281" s="38" t="s">
        <v>9</v>
      </c>
      <c r="R281" s="38" t="s">
        <v>103</v>
      </c>
      <c r="S281" s="38"/>
      <c r="T281" s="38"/>
      <c r="Z281" s="59" t="str">
        <f>IF(OR($M281="",NOT($O281="{array}")),"",IFERROR(MATCH(PARAMETERS!$M281,DEFAULT!$B$5:$BZ$5,0),""))</f>
        <v/>
      </c>
      <c r="AA281" s="56" t="str">
        <f t="shared" si="27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IF($AA281="","",IF($B281="I",VLOOKUP($AA281,#REF!,53,0),INDEX(VALUES!$B$1:$AO$1,1,$AA281)))</f>
        <v/>
      </c>
    </row>
    <row r="282" spans="1:29" outlineLevel="1" x14ac:dyDescent="0.3">
      <c r="A282" s="22" t="s">
        <v>83</v>
      </c>
      <c r="B282" s="41" t="str">
        <f t="shared" si="25"/>
        <v/>
      </c>
      <c r="C282" s="42">
        <f t="shared" si="26"/>
        <v>281</v>
      </c>
      <c r="D282" s="38"/>
      <c r="E282" s="38"/>
      <c r="F282" s="38" t="s">
        <v>9</v>
      </c>
      <c r="G282" s="38" t="s">
        <v>9</v>
      </c>
      <c r="H282" s="38"/>
      <c r="I282" s="38" t="s">
        <v>9</v>
      </c>
      <c r="J282" s="38" t="s">
        <v>9</v>
      </c>
      <c r="K282" s="14" t="s">
        <v>44</v>
      </c>
      <c r="L282" s="14" t="s">
        <v>38</v>
      </c>
      <c r="M282" s="20" t="s">
        <v>261</v>
      </c>
      <c r="N282" s="14" t="s">
        <v>262</v>
      </c>
      <c r="O282" s="43">
        <v>2</v>
      </c>
      <c r="Q282" s="38" t="s">
        <v>9</v>
      </c>
      <c r="R282" s="38" t="s">
        <v>103</v>
      </c>
      <c r="S282" s="38"/>
      <c r="T282" s="38"/>
      <c r="Z282" s="59" t="str">
        <f>IF(OR($M282="",NOT($O282="{array}")),"",IFERROR(MATCH(PARAMETERS!$M282,DEFAULT!$B$5:$BZ$5,0),""))</f>
        <v/>
      </c>
      <c r="AA282" s="56" t="str">
        <f t="shared" si="27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IF($AA282="","",IF($B282="I",VLOOKUP($AA282,#REF!,53,0),INDEX(VALUES!$B$1:$AO$1,1,$AA282)))</f>
        <v/>
      </c>
    </row>
    <row r="283" spans="1:29" outlineLevel="1" x14ac:dyDescent="0.3">
      <c r="A283" s="22" t="s">
        <v>83</v>
      </c>
      <c r="B283" s="41" t="str">
        <f t="shared" si="25"/>
        <v/>
      </c>
      <c r="C283" s="42">
        <f t="shared" si="26"/>
        <v>282</v>
      </c>
      <c r="D283" s="38"/>
      <c r="E283" s="38"/>
      <c r="F283" s="38" t="s">
        <v>9</v>
      </c>
      <c r="G283" s="38" t="s">
        <v>9</v>
      </c>
      <c r="H283" s="38"/>
      <c r="I283" s="38" t="s">
        <v>9</v>
      </c>
      <c r="J283" s="38"/>
      <c r="K283" s="14" t="s">
        <v>47</v>
      </c>
      <c r="L283" s="14" t="s">
        <v>27</v>
      </c>
      <c r="M283" s="20" t="s">
        <v>263</v>
      </c>
      <c r="N283" s="14" t="s">
        <v>264</v>
      </c>
      <c r="O283" s="43">
        <v>1</v>
      </c>
      <c r="Q283" s="38" t="s">
        <v>9</v>
      </c>
      <c r="R283" s="38" t="s">
        <v>103</v>
      </c>
      <c r="S283" s="38"/>
      <c r="T283" s="38"/>
      <c r="Z283" s="59" t="str">
        <f>IF(OR($M283="",NOT($O283="{array}")),"",IFERROR(MATCH(PARAMETERS!$M283,DEFAULT!$B$5:$BZ$5,0),""))</f>
        <v/>
      </c>
      <c r="AA283" s="56" t="str">
        <f t="shared" si="27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IF($AA283="","",IF($B283="I",VLOOKUP($AA283,#REF!,53,0),INDEX(VALUES!$B$1:$AO$1,1,$AA283)))</f>
        <v/>
      </c>
    </row>
    <row r="284" spans="1:29" outlineLevel="1" x14ac:dyDescent="0.3">
      <c r="A284" s="22" t="s">
        <v>83</v>
      </c>
      <c r="B284" s="41" t="str">
        <f t="shared" si="25"/>
        <v/>
      </c>
      <c r="C284" s="42">
        <f t="shared" si="26"/>
        <v>283</v>
      </c>
      <c r="D284" s="38"/>
      <c r="E284" s="38"/>
      <c r="F284" s="38"/>
      <c r="G284" s="38" t="s">
        <v>9</v>
      </c>
      <c r="H284" s="38"/>
      <c r="I284" s="38" t="s">
        <v>9</v>
      </c>
      <c r="J284" s="38"/>
      <c r="K284" s="14" t="s">
        <v>44</v>
      </c>
      <c r="L284" s="14" t="s">
        <v>27</v>
      </c>
      <c r="M284" s="20" t="s">
        <v>265</v>
      </c>
      <c r="N284" s="14" t="s">
        <v>266</v>
      </c>
      <c r="O284" s="43">
        <v>8000</v>
      </c>
      <c r="Q284" s="38" t="s">
        <v>9</v>
      </c>
      <c r="R284" s="38" t="s">
        <v>197</v>
      </c>
      <c r="S284" s="38"/>
      <c r="T284" s="38"/>
      <c r="Z284" s="59" t="str">
        <f>IF(OR($M284="",NOT($O284="{array}")),"",IFERROR(MATCH(PARAMETERS!$M284,DEFAULT!$B$5:$BZ$5,0),""))</f>
        <v/>
      </c>
      <c r="AA284" s="56" t="str">
        <f t="shared" si="27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IF($AA284="","",IF($B284="I",VLOOKUP($AA284,#REF!,53,0),INDEX(VALUES!$B$1:$AO$1,1,$AA284)))</f>
        <v/>
      </c>
    </row>
    <row r="285" spans="1:29" outlineLevel="1" x14ac:dyDescent="0.3">
      <c r="A285" s="22" t="s">
        <v>83</v>
      </c>
      <c r="B285" s="41" t="str">
        <f t="shared" si="25"/>
        <v/>
      </c>
      <c r="C285" s="42">
        <f t="shared" si="26"/>
        <v>284</v>
      </c>
      <c r="D285" s="38"/>
      <c r="E285" s="38"/>
      <c r="F285" s="38"/>
      <c r="G285" s="38"/>
      <c r="H285" s="38"/>
      <c r="I285" s="38" t="s">
        <v>9</v>
      </c>
      <c r="J285" s="38"/>
      <c r="K285" s="53" t="s">
        <v>44</v>
      </c>
      <c r="L285" s="53" t="s">
        <v>32</v>
      </c>
      <c r="M285" s="192" t="s">
        <v>267</v>
      </c>
      <c r="N285" s="53" t="s">
        <v>268</v>
      </c>
      <c r="O285" s="149">
        <v>0</v>
      </c>
      <c r="R285" s="38" t="s">
        <v>197</v>
      </c>
      <c r="S285" s="38"/>
      <c r="T285" s="38"/>
      <c r="Z285" s="59" t="str">
        <f>IF(OR($M285="",NOT($O285="{array}")),"",IFERROR(MATCH(PARAMETERS!$M285,DEFAULT!$B$5:$BZ$5,0),""))</f>
        <v/>
      </c>
      <c r="AA285" s="56" t="str">
        <f t="shared" si="27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IF($AA285="","",IF($B285="I",VLOOKUP($AA285,#REF!,53,0),INDEX(VALUES!$B$1:$AO$1,1,$AA285)))</f>
        <v/>
      </c>
    </row>
    <row r="286" spans="1:29" outlineLevel="1" x14ac:dyDescent="0.3">
      <c r="A286" s="22" t="s">
        <v>83</v>
      </c>
      <c r="B286" s="41" t="str">
        <f t="shared" si="25"/>
        <v/>
      </c>
      <c r="C286" s="150">
        <f t="shared" si="26"/>
        <v>285</v>
      </c>
      <c r="D286" s="151"/>
      <c r="E286" s="151"/>
      <c r="F286" s="151"/>
      <c r="G286" s="151"/>
      <c r="H286" s="151"/>
      <c r="I286" s="151"/>
      <c r="J286" s="151"/>
      <c r="K286" s="152" t="s">
        <v>57</v>
      </c>
      <c r="L286" s="152" t="s">
        <v>38</v>
      </c>
      <c r="M286" s="153" t="s">
        <v>269</v>
      </c>
      <c r="N286" s="154" t="s">
        <v>270</v>
      </c>
      <c r="O286" s="155"/>
      <c r="P286" s="152"/>
      <c r="Q286" s="151"/>
      <c r="R286" s="151" t="s">
        <v>103</v>
      </c>
      <c r="S286" s="38"/>
      <c r="T286" s="38"/>
      <c r="Z286" s="59" t="str">
        <f>IF(OR($M286="",NOT($O286="{array}")),"",IFERROR(MATCH(PARAMETERS!$M286,DEFAULT!$B$5:$BZ$5,0),""))</f>
        <v/>
      </c>
      <c r="AA286" s="56" t="str">
        <f t="shared" si="27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IF($AA286="","",IF($B286="I",VLOOKUP($AA286,#REF!,53,0),INDEX(VALUES!$B$1:$AO$1,1,$AA286)))</f>
        <v/>
      </c>
    </row>
    <row r="287" spans="1:29" outlineLevel="1" x14ac:dyDescent="0.3">
      <c r="A287" s="22" t="s">
        <v>83</v>
      </c>
      <c r="B287" s="41" t="str">
        <f t="shared" si="25"/>
        <v/>
      </c>
      <c r="C287" s="156">
        <f t="shared" si="26"/>
        <v>286</v>
      </c>
      <c r="D287" s="151"/>
      <c r="E287" s="151"/>
      <c r="F287" s="151"/>
      <c r="G287" s="151"/>
      <c r="H287" s="151"/>
      <c r="I287" s="151" t="s">
        <v>9</v>
      </c>
      <c r="J287" s="151" t="s">
        <v>9</v>
      </c>
      <c r="K287" s="152" t="s">
        <v>18</v>
      </c>
      <c r="L287" s="157" t="s">
        <v>38</v>
      </c>
      <c r="M287" s="158" t="s">
        <v>731</v>
      </c>
      <c r="N287" s="152" t="s">
        <v>732</v>
      </c>
      <c r="O287" s="155" t="s">
        <v>734</v>
      </c>
      <c r="P287" s="152"/>
      <c r="Q287" s="151"/>
      <c r="R287" s="151" t="s">
        <v>197</v>
      </c>
      <c r="S287" s="38"/>
      <c r="T287" s="38"/>
      <c r="Z287" s="59" t="str">
        <f>IF(OR($M287="",NOT($O287="{array}")),"",IFERROR(MATCH(PARAMETERS!$M287,DEFAULT!$B$5:$BZ$5,0),""))</f>
        <v/>
      </c>
      <c r="AA287" s="56" t="str">
        <f t="shared" si="27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IF($AA287="","",IF($B287="I",VLOOKUP($AA287,#REF!,53,0),INDEX(VALUES!$B$1:$AO$1,1,$AA287)))</f>
        <v/>
      </c>
    </row>
    <row r="288" spans="1:29" outlineLevel="1" x14ac:dyDescent="0.3">
      <c r="A288" s="22" t="s">
        <v>83</v>
      </c>
      <c r="B288" s="41" t="str">
        <f t="shared" si="25"/>
        <v/>
      </c>
      <c r="C288" s="156">
        <f t="shared" si="26"/>
        <v>287</v>
      </c>
      <c r="D288" s="151"/>
      <c r="E288" s="151"/>
      <c r="F288" s="151"/>
      <c r="G288" s="151"/>
      <c r="H288" s="151"/>
      <c r="I288" s="151" t="s">
        <v>9</v>
      </c>
      <c r="J288" s="151" t="s">
        <v>9</v>
      </c>
      <c r="K288" s="152" t="s">
        <v>44</v>
      </c>
      <c r="L288" s="157" t="s">
        <v>38</v>
      </c>
      <c r="M288" s="158" t="s">
        <v>271</v>
      </c>
      <c r="N288" s="152" t="s">
        <v>272</v>
      </c>
      <c r="O288" s="155">
        <v>1</v>
      </c>
      <c r="P288" s="152"/>
      <c r="Q288" s="151"/>
      <c r="R288" s="151" t="s">
        <v>197</v>
      </c>
      <c r="S288" s="38"/>
      <c r="T288" s="38"/>
      <c r="Z288" s="59" t="str">
        <f>IF(OR($M288="",NOT($O288="{array}")),"",IFERROR(MATCH(PARAMETERS!$M288,DEFAULT!$B$5:$BZ$5,0),""))</f>
        <v/>
      </c>
      <c r="AA288" s="56" t="str">
        <f t="shared" si="27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IF($AA288="","",IF($B288="I",VLOOKUP($AA288,#REF!,53,0),INDEX(VALUES!$B$1:$AO$1,1,$AA288)))</f>
        <v/>
      </c>
    </row>
    <row r="289" spans="1:29" outlineLevel="1" x14ac:dyDescent="0.3">
      <c r="A289" s="22" t="s">
        <v>83</v>
      </c>
      <c r="B289" s="41" t="str">
        <f t="shared" si="25"/>
        <v/>
      </c>
      <c r="C289" s="156">
        <f t="shared" si="26"/>
        <v>288</v>
      </c>
      <c r="D289" s="151"/>
      <c r="E289" s="151"/>
      <c r="F289" s="151"/>
      <c r="G289" s="151"/>
      <c r="H289" s="151"/>
      <c r="I289" s="151" t="s">
        <v>9</v>
      </c>
      <c r="J289" s="151" t="s">
        <v>9</v>
      </c>
      <c r="K289" s="152" t="s">
        <v>44</v>
      </c>
      <c r="L289" s="157" t="s">
        <v>38</v>
      </c>
      <c r="M289" s="158" t="s">
        <v>273</v>
      </c>
      <c r="N289" s="152" t="s">
        <v>274</v>
      </c>
      <c r="O289" s="155">
        <v>1</v>
      </c>
      <c r="P289" s="152"/>
      <c r="Q289" s="151"/>
      <c r="R289" s="151" t="s">
        <v>197</v>
      </c>
      <c r="S289" s="38"/>
      <c r="T289" s="38"/>
      <c r="Z289" s="59" t="str">
        <f>IF(OR($M289="",NOT($O289="{array}")),"",IFERROR(MATCH(PARAMETERS!$M289,DEFAULT!$B$5:$BZ$5,0),""))</f>
        <v/>
      </c>
      <c r="AA289" s="56" t="str">
        <f t="shared" si="27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IF($AA289="","",IF($B289="I",VLOOKUP($AA289,#REF!,53,0),INDEX(VALUES!$B$1:$AO$1,1,$AA289)))</f>
        <v/>
      </c>
    </row>
    <row r="290" spans="1:29" outlineLevel="1" x14ac:dyDescent="0.3">
      <c r="A290" s="22" t="s">
        <v>83</v>
      </c>
      <c r="B290" s="41" t="str">
        <f t="shared" si="25"/>
        <v/>
      </c>
      <c r="C290" s="156">
        <f t="shared" si="26"/>
        <v>289</v>
      </c>
      <c r="D290" s="151"/>
      <c r="E290" s="151"/>
      <c r="F290" s="151"/>
      <c r="G290" s="151"/>
      <c r="H290" s="151"/>
      <c r="I290" s="151" t="s">
        <v>9</v>
      </c>
      <c r="J290" s="151" t="s">
        <v>9</v>
      </c>
      <c r="K290" s="152" t="s">
        <v>44</v>
      </c>
      <c r="L290" s="157" t="s">
        <v>38</v>
      </c>
      <c r="M290" s="158" t="s">
        <v>275</v>
      </c>
      <c r="N290" s="152" t="s">
        <v>276</v>
      </c>
      <c r="O290" s="155">
        <v>0</v>
      </c>
      <c r="P290" s="152"/>
      <c r="Q290" s="151"/>
      <c r="R290" s="151" t="s">
        <v>197</v>
      </c>
      <c r="S290" s="38"/>
      <c r="T290" s="38"/>
      <c r="Z290" s="59" t="str">
        <f>IF(OR($M290="",NOT($O290="{array}")),"",IFERROR(MATCH(PARAMETERS!$M290,DEFAULT!$B$5:$BZ$5,0),""))</f>
        <v/>
      </c>
      <c r="AA290" s="56" t="str">
        <f t="shared" si="27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IF($AA290="","",IF($B290="I",VLOOKUP($AA290,#REF!,53,0),INDEX(VALUES!$B$1:$AO$1,1,$AA290)))</f>
        <v/>
      </c>
    </row>
    <row r="291" spans="1:29" outlineLevel="1" x14ac:dyDescent="0.3">
      <c r="A291" s="22" t="s">
        <v>83</v>
      </c>
      <c r="B291" s="41" t="str">
        <f t="shared" si="25"/>
        <v/>
      </c>
      <c r="C291" s="156">
        <f t="shared" si="26"/>
        <v>290</v>
      </c>
      <c r="D291" s="151"/>
      <c r="E291" s="151"/>
      <c r="F291" s="151"/>
      <c r="G291" s="151"/>
      <c r="H291" s="151"/>
      <c r="I291" s="151" t="s">
        <v>9</v>
      </c>
      <c r="J291" s="151" t="s">
        <v>9</v>
      </c>
      <c r="K291" s="152" t="s">
        <v>44</v>
      </c>
      <c r="L291" s="157" t="s">
        <v>38</v>
      </c>
      <c r="M291" s="158" t="s">
        <v>277</v>
      </c>
      <c r="N291" s="152" t="s">
        <v>278</v>
      </c>
      <c r="O291" s="155">
        <v>0</v>
      </c>
      <c r="P291" s="152"/>
      <c r="Q291" s="151"/>
      <c r="R291" s="151" t="s">
        <v>197</v>
      </c>
      <c r="S291" s="38"/>
      <c r="T291" s="38"/>
      <c r="Z291" s="59" t="str">
        <f>IF(OR($M291="",NOT($O291="{array}")),"",IFERROR(MATCH(PARAMETERS!$M291,DEFAULT!$B$5:$BZ$5,0),""))</f>
        <v/>
      </c>
      <c r="AA291" s="56" t="str">
        <f t="shared" si="27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IF($AA291="","",IF($B291="I",VLOOKUP($AA291,#REF!,53,0),INDEX(VALUES!$B$1:$AO$1,1,$AA291)))</f>
        <v/>
      </c>
    </row>
    <row r="292" spans="1:29" x14ac:dyDescent="0.3">
      <c r="A292" s="22"/>
      <c r="B292" s="41" t="str">
        <f t="shared" si="25"/>
        <v/>
      </c>
      <c r="C292" s="42">
        <f t="shared" ref="C292:C302" si="28">(ROW()-1)</f>
        <v>291</v>
      </c>
      <c r="D292" s="38"/>
      <c r="E292" s="38"/>
      <c r="F292" s="38"/>
      <c r="G292" s="38"/>
      <c r="H292" s="38"/>
      <c r="I292" s="38"/>
      <c r="J292" s="38"/>
      <c r="R292" s="38"/>
      <c r="S292" s="38"/>
      <c r="T292" s="38"/>
      <c r="Z292" s="59" t="str">
        <f>IF(OR($M292="",NOT($O292="{array}")),"",IFERROR(MATCH(PARAMETERS!$M292,DEFAULT!$B$5:$BZ$5,0),""))</f>
        <v/>
      </c>
      <c r="AA292" s="56" t="str">
        <f t="shared" si="27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IF($AA292="","",IF($B292="I",VLOOKUP($AA292,#REF!,53,0),INDEX(VALUES!$B$1:$AO$1,1,$AA292)))</f>
        <v/>
      </c>
    </row>
    <row r="293" spans="1:29" x14ac:dyDescent="0.3">
      <c r="A293" s="22"/>
      <c r="B293" s="41" t="str">
        <f t="shared" si="25"/>
        <v/>
      </c>
      <c r="C293" s="42">
        <f t="shared" si="28"/>
        <v>292</v>
      </c>
      <c r="D293" s="38"/>
      <c r="E293" s="38"/>
      <c r="F293" s="38"/>
      <c r="G293" s="38"/>
      <c r="H293" s="38"/>
      <c r="I293" s="38"/>
      <c r="J293" s="38"/>
      <c r="R293" s="38"/>
      <c r="S293" s="38"/>
      <c r="T293" s="38"/>
      <c r="Z293" s="59" t="str">
        <f>IF(OR($M293="",NOT($O293="{array}")),"",IFERROR(MATCH(PARAMETERS!$M293,DEFAULT!$B$5:$BZ$5,0),""))</f>
        <v/>
      </c>
      <c r="AA293" s="56" t="str">
        <f t="shared" si="27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IF($AA293="","",IF($B293="I",VLOOKUP($AA293,#REF!,53,0),INDEX(VALUES!$B$1:$AO$1,1,$AA293)))</f>
        <v/>
      </c>
    </row>
    <row r="294" spans="1:29" x14ac:dyDescent="0.3">
      <c r="A294" s="22"/>
      <c r="B294" s="41" t="str">
        <f t="shared" si="25"/>
        <v/>
      </c>
      <c r="C294" s="42">
        <f t="shared" si="28"/>
        <v>293</v>
      </c>
      <c r="D294" s="38"/>
      <c r="E294" s="38"/>
      <c r="F294" s="38"/>
      <c r="G294" s="38"/>
      <c r="H294" s="38"/>
      <c r="I294" s="38"/>
      <c r="J294" s="38"/>
      <c r="R294" s="38"/>
      <c r="S294" s="38"/>
      <c r="T294" s="38"/>
      <c r="Z294" s="59" t="str">
        <f>IF(OR($M294="",NOT($O294="{array}")),"",IFERROR(MATCH(PARAMETERS!$M294,DEFAULT!$B$5:$BZ$5,0),""))</f>
        <v/>
      </c>
      <c r="AA294" s="56" t="str">
        <f t="shared" si="27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IF($AA294="","",IF($B294="I",VLOOKUP($AA294,#REF!,53,0),INDEX(VALUES!$B$1:$AO$1,1,$AA294)))</f>
        <v/>
      </c>
    </row>
    <row r="295" spans="1:29" x14ac:dyDescent="0.3">
      <c r="A295" s="22"/>
      <c r="B295" s="41" t="str">
        <f t="shared" si="25"/>
        <v/>
      </c>
      <c r="C295" s="42">
        <f t="shared" si="28"/>
        <v>294</v>
      </c>
      <c r="D295" s="38"/>
      <c r="E295" s="38"/>
      <c r="F295" s="38"/>
      <c r="G295" s="38"/>
      <c r="H295" s="38"/>
      <c r="I295" s="38"/>
      <c r="J295" s="38"/>
      <c r="R295" s="38"/>
      <c r="S295" s="38"/>
      <c r="T295" s="38"/>
      <c r="Z295" s="59" t="str">
        <f>IF(OR($M295="",NOT($O295="{array}")),"",IFERROR(MATCH(PARAMETERS!$M295,DEFAULT!$B$5:$BZ$5,0),""))</f>
        <v/>
      </c>
      <c r="AA295" s="56" t="str">
        <f t="shared" si="27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IF($AA295="","",IF($B295="I",VLOOKUP($AA295,#REF!,53,0),INDEX(VALUES!$B$1:$AO$1,1,$AA295)))</f>
        <v/>
      </c>
    </row>
    <row r="296" spans="1:29" x14ac:dyDescent="0.3">
      <c r="A296" s="22"/>
      <c r="B296" s="41" t="str">
        <f t="shared" si="25"/>
        <v/>
      </c>
      <c r="C296" s="42">
        <f t="shared" si="28"/>
        <v>295</v>
      </c>
      <c r="D296" s="38"/>
      <c r="E296" s="38"/>
      <c r="F296" s="38"/>
      <c r="G296" s="38"/>
      <c r="H296" s="38"/>
      <c r="I296" s="38"/>
      <c r="J296" s="38"/>
      <c r="R296" s="38"/>
      <c r="S296" s="38"/>
      <c r="T296" s="38"/>
      <c r="Z296" s="59" t="str">
        <f>IF(OR($M296="",NOT($O296="{array}")),"",IFERROR(MATCH(PARAMETERS!$M296,DEFAULT!$B$5:$BZ$5,0),""))</f>
        <v/>
      </c>
      <c r="AA296" s="56" t="str">
        <f t="shared" si="27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IF($AA296="","",IF($B296="I",VLOOKUP($AA296,#REF!,53,0),INDEX(VALUES!$B$1:$AO$1,1,$AA296)))</f>
        <v/>
      </c>
    </row>
    <row r="297" spans="1:29" x14ac:dyDescent="0.3">
      <c r="A297" s="22"/>
      <c r="B297" s="41" t="str">
        <f t="shared" si="25"/>
        <v/>
      </c>
      <c r="C297" s="42">
        <f t="shared" si="28"/>
        <v>296</v>
      </c>
      <c r="D297" s="38"/>
      <c r="E297" s="38"/>
      <c r="F297" s="38"/>
      <c r="G297" s="38"/>
      <c r="H297" s="38"/>
      <c r="I297" s="38"/>
      <c r="J297" s="38"/>
      <c r="R297" s="38"/>
      <c r="S297" s="38"/>
      <c r="T297" s="38"/>
      <c r="Z297" s="59" t="str">
        <f>IF(OR($M297="",NOT($O297="{array}")),"",IFERROR(MATCH(PARAMETERS!$M297,DEFAULT!$B$5:$BZ$5,0),""))</f>
        <v/>
      </c>
      <c r="AA297" s="56" t="str">
        <f t="shared" si="27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IF($AA297="","",IF($B297="I",VLOOKUP($AA297,#REF!,53,0),INDEX(VALUES!$B$1:$AO$1,1,$AA297)))</f>
        <v/>
      </c>
    </row>
    <row r="298" spans="1:29" x14ac:dyDescent="0.3">
      <c r="A298" s="22"/>
      <c r="B298" s="41" t="str">
        <f t="shared" si="25"/>
        <v/>
      </c>
      <c r="C298" s="42">
        <f t="shared" si="28"/>
        <v>297</v>
      </c>
      <c r="D298" s="38"/>
      <c r="E298" s="38"/>
      <c r="F298" s="38"/>
      <c r="G298" s="38"/>
      <c r="H298" s="38"/>
      <c r="I298" s="38"/>
      <c r="J298" s="38"/>
      <c r="R298" s="38"/>
      <c r="S298" s="38"/>
      <c r="T298" s="38"/>
      <c r="Z298" s="59" t="str">
        <f>IF(OR($M298="",NOT($O298="{array}")),"",IFERROR(MATCH(PARAMETERS!$M298,DEFAULT!$B$5:$BZ$5,0),""))</f>
        <v/>
      </c>
      <c r="AA298" s="56" t="str">
        <f t="shared" si="27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IF($AA298="","",IF($B298="I",VLOOKUP($AA298,#REF!,53,0),INDEX(VALUES!$B$1:$AO$1,1,$AA298)))</f>
        <v/>
      </c>
    </row>
    <row r="299" spans="1:29" x14ac:dyDescent="0.3">
      <c r="A299" s="22"/>
      <c r="B299" s="41" t="str">
        <f t="shared" si="25"/>
        <v/>
      </c>
      <c r="C299" s="42">
        <f t="shared" si="28"/>
        <v>298</v>
      </c>
      <c r="D299" s="38"/>
      <c r="E299" s="38"/>
      <c r="F299" s="38"/>
      <c r="G299" s="38"/>
      <c r="H299" s="38"/>
      <c r="I299" s="38"/>
      <c r="J299" s="38"/>
      <c r="R299" s="38"/>
      <c r="S299" s="38"/>
      <c r="T299" s="38"/>
      <c r="Z299" s="59" t="str">
        <f>IF(OR($M299="",NOT($O299="{array}")),"",IFERROR(MATCH(PARAMETERS!$M299,DEFAULT!$B$5:$BZ$5,0),""))</f>
        <v/>
      </c>
      <c r="AA299" s="56" t="str">
        <f t="shared" si="27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IF($AA299="","",IF($B299="I",VLOOKUP($AA299,#REF!,53,0),INDEX(VALUES!$B$1:$AO$1,1,$AA299)))</f>
        <v/>
      </c>
    </row>
    <row r="300" spans="1:29" x14ac:dyDescent="0.3">
      <c r="A300" s="22"/>
      <c r="B300" s="41" t="str">
        <f t="shared" si="25"/>
        <v/>
      </c>
      <c r="C300" s="42">
        <f t="shared" si="28"/>
        <v>299</v>
      </c>
      <c r="D300" s="38"/>
      <c r="E300" s="38"/>
      <c r="F300" s="38"/>
      <c r="G300" s="38"/>
      <c r="H300" s="38"/>
      <c r="I300" s="38"/>
      <c r="J300" s="38"/>
      <c r="R300" s="38"/>
      <c r="S300" s="38"/>
      <c r="T300" s="38"/>
      <c r="Z300" s="59" t="str">
        <f>IF(OR($M300="",NOT($O300="{array}")),"",IFERROR(MATCH(PARAMETERS!$M300,DEFAULT!$B$5:$BZ$5,0),""))</f>
        <v/>
      </c>
      <c r="AA300" s="56" t="str">
        <f t="shared" si="27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IF($AA300="","",IF($B300="I",VLOOKUP($AA300,#REF!,53,0),INDEX(VALUES!$B$1:$AO$1,1,$AA300)))</f>
        <v/>
      </c>
    </row>
    <row r="301" spans="1:29" x14ac:dyDescent="0.3">
      <c r="A301" s="22"/>
      <c r="B301" s="41" t="str">
        <f t="shared" si="25"/>
        <v/>
      </c>
      <c r="C301" s="42">
        <f t="shared" si="28"/>
        <v>300</v>
      </c>
      <c r="D301" s="38"/>
      <c r="E301" s="38"/>
      <c r="F301" s="38"/>
      <c r="G301" s="38"/>
      <c r="H301" s="38"/>
      <c r="I301" s="38"/>
      <c r="J301" s="38"/>
      <c r="R301" s="38"/>
      <c r="S301" s="38"/>
      <c r="T301" s="38"/>
      <c r="Z301" s="59" t="str">
        <f>IF(OR($M301="",NOT($O301="{array}")),"",IFERROR(MATCH(PARAMETERS!$M301,DEFAULT!$B$5:$BZ$5,0),""))</f>
        <v/>
      </c>
      <c r="AA301" s="56" t="str">
        <f t="shared" si="27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IF($AA301="","",IF($B301="I",VLOOKUP($AA301,#REF!,53,0),INDEX(VALUES!$B$1:$AO$1,1,$AA301)))</f>
        <v/>
      </c>
    </row>
    <row r="302" spans="1:29" x14ac:dyDescent="0.3">
      <c r="A302" s="22"/>
      <c r="B302" s="41" t="str">
        <f t="shared" si="25"/>
        <v/>
      </c>
      <c r="C302" s="42">
        <f t="shared" si="28"/>
        <v>301</v>
      </c>
      <c r="D302" s="38"/>
      <c r="E302" s="38"/>
      <c r="F302" s="38"/>
      <c r="G302" s="38"/>
      <c r="H302" s="38"/>
      <c r="I302" s="38"/>
      <c r="J302" s="38"/>
      <c r="R302" s="38"/>
      <c r="S302" s="38"/>
      <c r="T302" s="38"/>
      <c r="Z302" s="59" t="str">
        <f>IF(OR($M302="",NOT($O302="{array}")),"",IFERROR(MATCH(PARAMETERS!$M302,DEFAULT!$B$5:$BZ$5,0),""))</f>
        <v/>
      </c>
      <c r="AA302" s="56" t="str">
        <f t="shared" si="27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IF($AA302="","",IF($B302="I",VLOOKUP($AA302,#REF!,53,0),INDEX(VALUES!$B$1:$AO$1,1,$AA302)))</f>
        <v/>
      </c>
    </row>
    <row r="303" spans="1:29" ht="18" thickBot="1" x14ac:dyDescent="0.35">
      <c r="A303" s="22"/>
      <c r="B303" s="41" t="str">
        <f t="shared" si="25"/>
        <v/>
      </c>
      <c r="C303" s="42">
        <f>(ROW()-1)</f>
        <v>302</v>
      </c>
      <c r="D303" s="38"/>
      <c r="E303" s="38"/>
      <c r="F303" s="38"/>
      <c r="G303" s="38"/>
      <c r="H303" s="38"/>
      <c r="I303" s="38"/>
      <c r="J303" s="38"/>
      <c r="R303" s="38"/>
      <c r="S303" s="38"/>
      <c r="T303" s="38"/>
      <c r="Z303" s="59" t="str">
        <f>IF(OR($M303="",NOT($O303="{array}")),"",IFERROR(MATCH(PARAMETERS!$M303,DEFAULT!$B$5:$BZ$5,0),""))</f>
        <v/>
      </c>
      <c r="AA303" s="56" t="str">
        <f>IF($M303="","",IFERROR(MATCH($M303,VALUESnames,0),""))</f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IF($AA303="","",IF($B303="I",VLOOKUP($AA303,#REF!,53,0),INDEX(VALUES!$B$1:$AO$1,1,$AA303)))</f>
        <v/>
      </c>
    </row>
    <row r="304" spans="1:29" s="25" customFormat="1" ht="18" thickTop="1" x14ac:dyDescent="0.3">
      <c r="A304" s="35"/>
      <c r="B304" s="25" t="str">
        <f>IF($A304="","",IF($A304="G",IF(NOT($Z304=""),"A",IF(NOT($AA304=""),"V","")),IF($A304="P",IF(NOT($Z304=""),"A",IF(NOT($AA304=""),"I","")))))</f>
        <v/>
      </c>
      <c r="D304" s="44"/>
      <c r="E304" s="44"/>
      <c r="F304" s="44"/>
      <c r="G304" s="44"/>
      <c r="H304" s="44"/>
      <c r="I304" s="44"/>
      <c r="J304" s="44"/>
      <c r="M304" s="47"/>
      <c r="O304" s="45"/>
      <c r="Q304" s="52"/>
      <c r="R304" s="44"/>
      <c r="S304" s="44"/>
      <c r="T304" s="44"/>
      <c r="X304" s="46"/>
      <c r="Z304" s="60"/>
      <c r="AA304" s="61"/>
      <c r="AB304" s="64"/>
    </row>
  </sheetData>
  <phoneticPr fontId="7" type="noConversion"/>
  <conditionalFormatting sqref="A2:A303">
    <cfRule type="cellIs" dxfId="1" priority="57" stopIfTrue="1" operator="equal">
      <formula>"G"</formula>
    </cfRule>
    <cfRule type="cellIs" dxfId="0" priority="58" stopIfTrue="1" operator="equal">
      <formula>"P"</formula>
    </cfRule>
  </conditionalFormatting>
  <dataValidations count="8">
    <dataValidation type="list" allowBlank="1" showInputMessage="1" showErrorMessage="1" sqref="Q69:Q303 D2:J303 Q2:Q67">
      <formula1>"x"</formula1>
    </dataValidation>
    <dataValidation type="list" allowBlank="1" showInputMessage="1" showErrorMessage="1" sqref="R2:R303">
      <formula1>Stakeholder</formula1>
    </dataValidation>
    <dataValidation type="list" allowBlank="1" showInputMessage="1" sqref="S2:T303">
      <formula1>read_write</formula1>
    </dataValidation>
    <dataValidation type="list" allowBlank="1" showInputMessage="1" showErrorMessage="1" sqref="K2:K303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303">
      <formula1>"info,model,logic,internal"</formula1>
    </dataValidation>
    <dataValidation type="list" allowBlank="1" showInputMessage="1" sqref="O2:O303">
      <formula1>"empty,{array}"</formula1>
    </dataValidation>
    <dataValidation type="custom" allowBlank="1" showInputMessage="1" showErrorMessage="1" sqref="C2:C303">
      <formula1>"x"</formula1>
    </dataValidation>
    <dataValidation type="list" allowBlank="1" showInputMessage="1" sqref="A2:A303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A157"/>
  <sheetViews>
    <sheetView topLeftCell="I1" zoomScale="85" zoomScaleNormal="85" workbookViewId="0">
      <pane ySplit="1212" activePane="bottomLeft"/>
      <selection activeCell="I1" sqref="I1:J1048576"/>
      <selection pane="bottomLeft" activeCell="I6" sqref="I6:P20"/>
    </sheetView>
  </sheetViews>
  <sheetFormatPr baseColWidth="10" defaultColWidth="11.44140625" defaultRowHeight="13.8" x14ac:dyDescent="0.3"/>
  <cols>
    <col min="1" max="1" width="17.6640625" style="23" customWidth="1"/>
    <col min="2" max="2" width="9" style="17" customWidth="1"/>
    <col min="3" max="3" width="9.5546875" style="17" customWidth="1"/>
    <col min="4" max="5" width="8.5546875" style="17" customWidth="1"/>
    <col min="6" max="7" width="12.33203125" style="17" customWidth="1"/>
    <col min="8" max="8" width="17.88671875" style="17" customWidth="1"/>
    <col min="9" max="9" width="15.33203125" style="17" customWidth="1"/>
    <col min="10" max="10" width="20.6640625" style="17" bestFit="1" customWidth="1"/>
    <col min="11" max="11" width="15.6640625" style="17" customWidth="1"/>
    <col min="12" max="12" width="19.6640625" style="17" customWidth="1"/>
    <col min="13" max="13" width="15.6640625" style="17" customWidth="1"/>
    <col min="14" max="14" width="19.44140625" style="17" customWidth="1"/>
    <col min="15" max="15" width="15.6640625" style="17" customWidth="1"/>
    <col min="16" max="16" width="17.88671875" style="17" customWidth="1"/>
    <col min="17" max="17" width="15.6640625" style="17" customWidth="1"/>
    <col min="18" max="18" width="23.6640625" style="17" customWidth="1"/>
    <col min="19" max="19" width="13.109375" style="17" customWidth="1"/>
    <col min="20" max="20" width="16.5546875" style="17" customWidth="1"/>
    <col min="21" max="21" width="20.5546875" style="17" customWidth="1"/>
    <col min="22" max="65" width="7.88671875" style="17" customWidth="1"/>
    <col min="66" max="66" width="3.44140625" style="17" customWidth="1"/>
    <col min="67" max="67" width="23.88671875" style="17" customWidth="1"/>
    <col min="68" max="68" width="3.5546875" style="17" customWidth="1"/>
    <col min="69" max="69" width="23.88671875" style="17" customWidth="1"/>
    <col min="70" max="70" width="4.5546875" style="17" customWidth="1"/>
    <col min="71" max="71" width="23.88671875" style="17" customWidth="1"/>
    <col min="72" max="72" width="18.6640625" style="17" customWidth="1"/>
    <col min="73" max="73" width="5.44140625" style="17" customWidth="1"/>
    <col min="74" max="74" width="23.88671875" style="17" customWidth="1"/>
    <col min="75" max="75" width="6.33203125" style="17" customWidth="1"/>
    <col min="76" max="76" width="23.88671875" style="17" customWidth="1"/>
    <col min="77" max="77" width="16.44140625" style="17" customWidth="1"/>
    <col min="78" max="78" width="9.5546875" style="17" customWidth="1"/>
    <col min="79" max="79" width="36" style="29" customWidth="1"/>
    <col min="80" max="16384" width="11.44140625" style="14"/>
  </cols>
  <sheetData>
    <row r="1" spans="1:79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252" t="s">
        <v>87</v>
      </c>
    </row>
    <row r="2" spans="1:79" x14ac:dyDescent="0.3">
      <c r="A2" s="27" t="s">
        <v>145</v>
      </c>
      <c r="B2" s="34">
        <f t="shared" ref="B2:AF2" si="0">IF(B$3="-","-",IF(B$3=A$3,A$2+1,1))</f>
        <v>1</v>
      </c>
      <c r="C2" s="34">
        <f t="shared" si="0"/>
        <v>2</v>
      </c>
      <c r="D2" s="34">
        <f t="shared" si="0"/>
        <v>1</v>
      </c>
      <c r="E2" s="34">
        <f t="shared" si="0"/>
        <v>2</v>
      </c>
      <c r="F2" s="34" t="str">
        <f t="shared" si="0"/>
        <v>-</v>
      </c>
      <c r="G2" s="34" t="str">
        <f t="shared" si="0"/>
        <v>-</v>
      </c>
      <c r="H2" s="34" t="str">
        <f>IF(H$3="-","-",IF(H$3=G$3,G$2+1,1))</f>
        <v>-</v>
      </c>
      <c r="I2" s="34" t="str">
        <f>IF(I$3="-","-",IF(I$3=H$3,H$2+1,1))</f>
        <v>-</v>
      </c>
      <c r="J2" s="34" t="str">
        <f>IF(J$3="-","-",IF(J$3=I$3,I$2+1,1))</f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ref="AG2:BL2" si="1">IF(AG$3="-","-",IF(AG$3=AF$3,AF$2+1,1))</f>
        <v>-</v>
      </c>
      <c r="AH2" s="34" t="str">
        <f t="shared" si="1"/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ref="BM2:BZ2" si="2">IF(BM$3="-","-",IF(BM$3=BL$3,BL$2+1,1))</f>
        <v>-</v>
      </c>
      <c r="BN2" s="34" t="str">
        <f t="shared" si="2"/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252"/>
    </row>
    <row r="3" spans="1:79" x14ac:dyDescent="0.3">
      <c r="A3" s="27" t="s">
        <v>146</v>
      </c>
      <c r="B3" s="50">
        <f t="shared" ref="B3:AF3" si="3">IF(B$5="",A$3,IFERROR(MATCH(B$5,prodArrayNames,0),"-"))</f>
        <v>1</v>
      </c>
      <c r="C3" s="50">
        <f t="shared" si="3"/>
        <v>1</v>
      </c>
      <c r="D3" s="50">
        <f t="shared" si="3"/>
        <v>2</v>
      </c>
      <c r="E3" s="50">
        <f t="shared" si="3"/>
        <v>2</v>
      </c>
      <c r="F3" s="50" t="str">
        <f t="shared" si="3"/>
        <v>-</v>
      </c>
      <c r="G3" s="50" t="str">
        <f t="shared" si="3"/>
        <v>-</v>
      </c>
      <c r="H3" s="50" t="str">
        <f>IF(H$5="",G$3,IFERROR(MATCH(H$5,prodArrayNames,0),"-"))</f>
        <v>-</v>
      </c>
      <c r="I3" s="50" t="str">
        <f>IF(I$5="",H$3,IFERROR(MATCH(I$5,prodArrayNames,0),"-"))</f>
        <v>-</v>
      </c>
      <c r="J3" s="50" t="str">
        <f>IF(J$5="",I$3,IFERROR(MATCH(J$5,prodArrayNames,0),"-"))</f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ref="AG3:BL3" si="4">IF(AG$5="",AF$3,IFERROR(MATCH(AG$5,prodArrayNames,0),"-"))</f>
        <v>-</v>
      </c>
      <c r="AH3" s="50" t="str">
        <f t="shared" si="4"/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ref="BM3:BZ3" si="5">IF(BM$5="",BL$3,IFERROR(MATCH(BM$5,prodArrayNames,0),"-"))</f>
        <v>-</v>
      </c>
      <c r="BN3" s="50" t="str">
        <f t="shared" si="5"/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252"/>
    </row>
    <row r="4" spans="1:79" ht="14.4" thickBot="1" x14ac:dyDescent="0.35">
      <c r="A4" s="27" t="s">
        <v>148</v>
      </c>
      <c r="B4" s="51" t="str">
        <f t="shared" ref="B4:R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912CB3F0-4548-1168-</v>
      </c>
      <c r="C4" s="51" t="str">
        <f t="shared" si="6"/>
        <v/>
      </c>
      <c r="D4" s="51" t="str">
        <f t="shared" si="6"/>
        <v>7B0309E1-4970-1570-</v>
      </c>
      <c r="E4" s="51" t="str">
        <f t="shared" si="6"/>
        <v/>
      </c>
      <c r="F4" s="51" t="str">
        <f t="shared" si="6"/>
        <v>81CC0224-5585-1532-</v>
      </c>
      <c r="G4" s="51" t="str">
        <f t="shared" si="6"/>
        <v/>
      </c>
      <c r="H4" s="51" t="str">
        <f t="shared" si="6"/>
        <v/>
      </c>
      <c r="I4" s="51" t="str">
        <f t="shared" si="6"/>
        <v>90547624-3946-1028-</v>
      </c>
      <c r="J4" s="51" t="str">
        <f t="shared" si="6"/>
        <v/>
      </c>
      <c r="K4" s="51" t="str">
        <f t="shared" si="6"/>
        <v>904BA224-3946-1028-</v>
      </c>
      <c r="L4" s="51" t="str">
        <f t="shared" si="6"/>
        <v/>
      </c>
      <c r="M4" s="51" t="str">
        <f t="shared" si="6"/>
        <v>97117224-5924-1164-</v>
      </c>
      <c r="N4" s="51" t="str">
        <f t="shared" si="6"/>
        <v/>
      </c>
      <c r="O4" s="51" t="str">
        <f t="shared" si="6"/>
        <v>60EBA224-4017-1123-</v>
      </c>
      <c r="P4" s="51" t="str">
        <f t="shared" si="6"/>
        <v/>
      </c>
      <c r="Q4" s="51" t="str">
        <f t="shared" si="6"/>
        <v>8D223E24-3946-1028-</v>
      </c>
      <c r="R4" s="51" t="str">
        <f t="shared" si="6"/>
        <v/>
      </c>
      <c r="S4" s="51" t="str">
        <f t="shared" ref="S4:BZ4" si="7">IF(OR(S$5="",S$5="empty"),"",MID(DEC2HEX(CODE(S$5)+2^6*CODE(MID(S$5&amp;makeGUID,2,1))+2^8*CODE(MID(S$5&amp;makeGUID,3,1))+2^10*CODE(MID(S$5&amp;makeGUID,4,1))+2^12*CODE(MID(S$5&amp;makeGUID,5,1))+2^14*CODE(MID(S$5&amp;makeGUID,6,1))+2^16*CODE(MID(S$5&amp;makeGUID,7,1))+2^18*CODE(MID(S$5&amp;makeGUID,8,1))+2^20*CODE(MID(S$5&amp;makeGUID,9,1))+2^22*CODE(MID(S$5&amp;makeGUID,10,1))+2^24*CODE(MID(S$5&amp;makeGUID,11,1))),1,8)&amp;"-"&amp;MID(2^6*CODE(MID(S$5&amp;makeGUID,12,1))+2^8*CODE(MID(S$5&amp;makeGUID,13,1))+2^10*CODE(MID(S$5&amp;makeGUID,14,1))+2^12*CODE(MID(S$5&amp;makeGUID,15,1)),1,4)&amp;"-"&amp;MID(2^14*CODE(MID(S$5&amp;makeGUID,16,1))+2^16*CODE(MID(S$5&amp;makeGUID,17,1))+2^18*CODE(MID(S$5&amp;makeGUID,18,1))+2^20*CODE(MID(S$5&amp;makeGUID,19,1)),1,4)&amp;"-")</f>
        <v>8AE93A24-5924-1164-</v>
      </c>
      <c r="T4" s="51" t="str">
        <f t="shared" si="7"/>
        <v>7F28689B-5924-1164-</v>
      </c>
      <c r="U4" s="51" t="str">
        <f t="shared" si="7"/>
        <v>8A86D624-5662-1517-</v>
      </c>
      <c r="V4" s="51" t="str">
        <f t="shared" si="7"/>
        <v/>
      </c>
      <c r="W4" s="51" t="str">
        <f t="shared" si="7"/>
        <v/>
      </c>
      <c r="X4" s="51" t="str">
        <f t="shared" si="7"/>
        <v/>
      </c>
      <c r="Y4" s="51" t="str">
        <f t="shared" si="7"/>
        <v/>
      </c>
      <c r="Z4" s="51" t="str">
        <f t="shared" si="7"/>
        <v/>
      </c>
      <c r="AA4" s="51" t="str">
        <f t="shared" si="7"/>
        <v/>
      </c>
      <c r="AB4" s="51" t="str">
        <f t="shared" si="7"/>
        <v/>
      </c>
      <c r="AC4" s="51" t="str">
        <f t="shared" si="7"/>
        <v/>
      </c>
      <c r="AD4" s="51" t="str">
        <f t="shared" si="7"/>
        <v/>
      </c>
      <c r="AE4" s="51" t="str">
        <f t="shared" si="7"/>
        <v/>
      </c>
      <c r="AF4" s="51" t="str">
        <f t="shared" si="7"/>
        <v/>
      </c>
      <c r="AG4" s="51" t="str">
        <f t="shared" si="7"/>
        <v/>
      </c>
      <c r="AH4" s="51" t="str">
        <f t="shared" si="7"/>
        <v/>
      </c>
      <c r="AI4" s="51" t="str">
        <f t="shared" si="7"/>
        <v/>
      </c>
      <c r="AJ4" s="51" t="str">
        <f t="shared" si="7"/>
        <v/>
      </c>
      <c r="AK4" s="51" t="str">
        <f t="shared" si="7"/>
        <v/>
      </c>
      <c r="AL4" s="51" t="str">
        <f t="shared" si="7"/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/>
      </c>
      <c r="BD4" s="51" t="str">
        <f t="shared" si="7"/>
        <v/>
      </c>
      <c r="BE4" s="51" t="str">
        <f t="shared" si="7"/>
        <v/>
      </c>
      <c r="BF4" s="51" t="str">
        <f t="shared" si="7"/>
        <v/>
      </c>
      <c r="BG4" s="51" t="str">
        <f t="shared" si="7"/>
        <v/>
      </c>
      <c r="BH4" s="51" t="str">
        <f t="shared" si="7"/>
        <v/>
      </c>
      <c r="BI4" s="51" t="str">
        <f t="shared" si="7"/>
        <v/>
      </c>
      <c r="BJ4" s="51" t="str">
        <f t="shared" si="7"/>
        <v/>
      </c>
      <c r="BK4" s="51" t="str">
        <f t="shared" si="7"/>
        <v/>
      </c>
      <c r="BL4" s="51" t="str">
        <f t="shared" si="7"/>
        <v/>
      </c>
      <c r="BM4" s="51" t="str">
        <f t="shared" si="7"/>
        <v/>
      </c>
      <c r="BN4" s="51" t="str">
        <f t="shared" si="7"/>
        <v>8A86D624-6174-1553-</v>
      </c>
      <c r="BO4" s="51" t="str">
        <f t="shared" si="7"/>
        <v/>
      </c>
      <c r="BP4" s="51" t="str">
        <f t="shared" si="7"/>
        <v>8A86D624-6174-1553-</v>
      </c>
      <c r="BQ4" s="51" t="str">
        <f t="shared" si="7"/>
        <v/>
      </c>
      <c r="BR4" s="51" t="str">
        <f t="shared" si="7"/>
        <v>96A3A422-6225-1531-</v>
      </c>
      <c r="BS4" s="51" t="str">
        <f t="shared" si="7"/>
        <v/>
      </c>
      <c r="BT4" s="51" t="str">
        <f t="shared" si="7"/>
        <v>8A5DD48C-5488-1516-</v>
      </c>
      <c r="BU4" s="51" t="str">
        <f t="shared" si="7"/>
        <v>8741DA24-5258-1368-</v>
      </c>
      <c r="BV4" s="51" t="str">
        <f t="shared" si="7"/>
        <v/>
      </c>
      <c r="BW4" s="51" t="str">
        <f t="shared" si="7"/>
        <v>87409A24-5258-1368-</v>
      </c>
      <c r="BX4" s="51" t="str">
        <f t="shared" si="7"/>
        <v/>
      </c>
      <c r="BY4" s="51" t="str">
        <f t="shared" si="7"/>
        <v>951D8A24-5041-1272-</v>
      </c>
      <c r="BZ4" s="51" t="str">
        <f t="shared" si="7"/>
        <v>9138A3A4-4548-1168-</v>
      </c>
      <c r="CA4" s="97"/>
    </row>
    <row r="5" spans="1:79" ht="22.5" customHeight="1" thickTop="1" x14ac:dyDescent="0.3">
      <c r="A5" s="28" t="s">
        <v>86</v>
      </c>
      <c r="B5" s="96" t="s">
        <v>186</v>
      </c>
      <c r="C5" s="96"/>
      <c r="D5" s="96" t="s">
        <v>191</v>
      </c>
      <c r="E5" s="96"/>
      <c r="F5" s="96" t="s">
        <v>615</v>
      </c>
      <c r="G5" s="96"/>
      <c r="H5" s="96" t="s">
        <v>736</v>
      </c>
      <c r="I5" s="96" t="s">
        <v>200</v>
      </c>
      <c r="J5" s="96" t="s">
        <v>736</v>
      </c>
      <c r="K5" s="96" t="s">
        <v>202</v>
      </c>
      <c r="L5" s="96" t="s">
        <v>736</v>
      </c>
      <c r="M5" s="96" t="s">
        <v>204</v>
      </c>
      <c r="N5" s="96" t="s">
        <v>736</v>
      </c>
      <c r="O5" s="96" t="s">
        <v>195</v>
      </c>
      <c r="P5" s="96" t="s">
        <v>736</v>
      </c>
      <c r="Q5" s="96" t="s">
        <v>208</v>
      </c>
      <c r="R5" s="96" t="s">
        <v>736</v>
      </c>
      <c r="S5" s="204" t="s">
        <v>967</v>
      </c>
      <c r="T5" s="204" t="s">
        <v>736</v>
      </c>
      <c r="U5" s="96" t="s">
        <v>940</v>
      </c>
      <c r="V5" s="96" t="s">
        <v>28</v>
      </c>
      <c r="W5" s="96" t="s">
        <v>28</v>
      </c>
      <c r="X5" s="96" t="s">
        <v>28</v>
      </c>
      <c r="Y5" s="96" t="s">
        <v>28</v>
      </c>
      <c r="Z5" s="96" t="s">
        <v>28</v>
      </c>
      <c r="AA5" s="96" t="s">
        <v>28</v>
      </c>
      <c r="AB5" s="96" t="s">
        <v>28</v>
      </c>
      <c r="AC5" s="96" t="s">
        <v>28</v>
      </c>
      <c r="AD5" s="96" t="s">
        <v>28</v>
      </c>
      <c r="AE5" s="96" t="s">
        <v>28</v>
      </c>
      <c r="AF5" s="96" t="s">
        <v>28</v>
      </c>
      <c r="AG5" s="96" t="s">
        <v>28</v>
      </c>
      <c r="AH5" s="96" t="s">
        <v>28</v>
      </c>
      <c r="AI5" s="96" t="s">
        <v>28</v>
      </c>
      <c r="AJ5" s="96" t="s">
        <v>28</v>
      </c>
      <c r="AK5" s="96" t="s">
        <v>28</v>
      </c>
      <c r="AL5" s="96" t="s">
        <v>28</v>
      </c>
      <c r="AM5" s="96" t="s">
        <v>28</v>
      </c>
      <c r="AN5" s="96" t="s">
        <v>28</v>
      </c>
      <c r="AO5" s="96" t="s">
        <v>28</v>
      </c>
      <c r="AP5" s="96" t="s">
        <v>28</v>
      </c>
      <c r="AQ5" s="96" t="s">
        <v>28</v>
      </c>
      <c r="AR5" s="96" t="s">
        <v>28</v>
      </c>
      <c r="AS5" s="96" t="s">
        <v>28</v>
      </c>
      <c r="AT5" s="96" t="s">
        <v>28</v>
      </c>
      <c r="AU5" s="96" t="s">
        <v>28</v>
      </c>
      <c r="AV5" s="96" t="s">
        <v>28</v>
      </c>
      <c r="AW5" s="96" t="s">
        <v>28</v>
      </c>
      <c r="AX5" s="96" t="s">
        <v>28</v>
      </c>
      <c r="AY5" s="96" t="s">
        <v>28</v>
      </c>
      <c r="AZ5" s="96" t="s">
        <v>28</v>
      </c>
      <c r="BA5" s="96" t="s">
        <v>28</v>
      </c>
      <c r="BB5" s="96" t="s">
        <v>28</v>
      </c>
      <c r="BC5" s="96" t="s">
        <v>28</v>
      </c>
      <c r="BD5" s="96" t="s">
        <v>28</v>
      </c>
      <c r="BE5" s="96" t="s">
        <v>28</v>
      </c>
      <c r="BF5" s="96" t="s">
        <v>28</v>
      </c>
      <c r="BG5" s="96" t="s">
        <v>28</v>
      </c>
      <c r="BH5" s="96" t="s">
        <v>28</v>
      </c>
      <c r="BI5" s="96" t="s">
        <v>28</v>
      </c>
      <c r="BJ5" s="96" t="s">
        <v>28</v>
      </c>
      <c r="BK5" s="96" t="s">
        <v>28</v>
      </c>
      <c r="BL5" s="96" t="s">
        <v>28</v>
      </c>
      <c r="BM5" s="96" t="s">
        <v>28</v>
      </c>
      <c r="BN5" s="96" t="s">
        <v>654</v>
      </c>
      <c r="BO5" s="96"/>
      <c r="BP5" s="96" t="s">
        <v>656</v>
      </c>
      <c r="BQ5" s="96"/>
      <c r="BR5" s="96" t="s">
        <v>669</v>
      </c>
      <c r="BS5" s="96"/>
      <c r="BT5" s="96" t="s">
        <v>245</v>
      </c>
      <c r="BU5" s="96" t="s">
        <v>213</v>
      </c>
      <c r="BV5" s="96"/>
      <c r="BW5" s="96" t="s">
        <v>215</v>
      </c>
      <c r="BX5" s="96"/>
      <c r="BY5" s="96" t="s">
        <v>248</v>
      </c>
      <c r="BZ5" s="96" t="s">
        <v>267</v>
      </c>
      <c r="CA5" s="97" t="s">
        <v>147</v>
      </c>
    </row>
    <row r="6" spans="1:79" ht="22.5" customHeight="1" x14ac:dyDescent="0.3">
      <c r="A6" s="28" t="s">
        <v>149</v>
      </c>
      <c r="B6" s="17" t="str">
        <f ca="1">IFERROR(INDEX( PRODUKTE,   ROW()-ROW($A$5)+INDEX(prodRowOffset,B$3),  MATCH(B$2,OFFSET(INDEXNAMEN,B$3,0),0)),"")</f>
        <v>UZ</v>
      </c>
      <c r="C6" s="17" t="str">
        <f ca="1">IFERROR(INDEX( PRODUKTE,   ROW()-ROW($A$5)+INDEX(prodRowOffset,C$3),  MATCH(C$2,OFFSET(INDEXNAMEN,C$3,0),0)),"")</f>
        <v>Standard</v>
      </c>
      <c r="D6" s="17">
        <f ca="1">IFERROR(INDEX( PRODUKTE,   ROW()-ROW($A$5)+INDEX(prodRowOffset,D$3),  MATCH(D$2,OFFSET(INDEXNAMEN,D$3,0),0)),"")</f>
        <v>1.4999999999999999E-2</v>
      </c>
      <c r="E6" s="17">
        <f ca="1">IFERROR(INDEX( PRODUKTE,   ROW()-ROW($A$5)+INDEX(prodRowOffset,E$3),  MATCH(E$2,OFFSET(INDEXNAMEN,E$3,0),0)),"")</f>
        <v>-1</v>
      </c>
      <c r="F6" s="17">
        <v>5.0000000000000001E-3</v>
      </c>
      <c r="G6" s="17">
        <v>7.4999999999999997E-3</v>
      </c>
      <c r="H6" s="196" t="s">
        <v>769</v>
      </c>
      <c r="I6" s="198">
        <v>96</v>
      </c>
      <c r="J6" s="199" t="s">
        <v>737</v>
      </c>
      <c r="K6" s="198">
        <v>104</v>
      </c>
      <c r="L6" s="199" t="s">
        <v>738</v>
      </c>
      <c r="M6" s="198">
        <v>91</v>
      </c>
      <c r="N6" s="199" t="s">
        <v>739</v>
      </c>
      <c r="O6" s="198">
        <v>64</v>
      </c>
      <c r="P6" s="199" t="s">
        <v>740</v>
      </c>
      <c r="Q6" s="198">
        <v>40</v>
      </c>
      <c r="R6" s="199" t="s">
        <v>741</v>
      </c>
      <c r="S6" s="198">
        <v>21</v>
      </c>
      <c r="T6" s="199" t="s">
        <v>968</v>
      </c>
      <c r="U6" s="17" t="s">
        <v>942</v>
      </c>
      <c r="BN6" s="17">
        <v>0</v>
      </c>
      <c r="BO6" s="17" t="s">
        <v>746</v>
      </c>
      <c r="BP6" s="17">
        <v>0</v>
      </c>
      <c r="BQ6" s="17" t="s">
        <v>746</v>
      </c>
      <c r="BR6" s="17">
        <v>0</v>
      </c>
      <c r="BS6" s="17" t="s">
        <v>747</v>
      </c>
      <c r="BT6" s="17" t="s">
        <v>247</v>
      </c>
      <c r="BU6" s="17">
        <v>0</v>
      </c>
      <c r="BV6" s="17" t="s">
        <v>133</v>
      </c>
      <c r="BW6" s="17">
        <v>100</v>
      </c>
      <c r="BX6" s="17" t="s">
        <v>748</v>
      </c>
      <c r="BY6" s="17">
        <v>1</v>
      </c>
      <c r="BZ6" s="17">
        <v>0</v>
      </c>
      <c r="CA6" s="97" t="s">
        <v>88</v>
      </c>
    </row>
    <row r="7" spans="1:79" ht="22.5" customHeight="1" x14ac:dyDescent="0.3">
      <c r="A7" s="28"/>
      <c r="F7" s="17">
        <v>5.0000000000000001E-3</v>
      </c>
      <c r="G7" s="17">
        <v>7.4999999999999997E-3</v>
      </c>
      <c r="H7" s="196" t="s">
        <v>770</v>
      </c>
      <c r="I7" s="198">
        <v>2</v>
      </c>
      <c r="J7" s="199" t="s">
        <v>790</v>
      </c>
      <c r="K7" s="198">
        <v>62</v>
      </c>
      <c r="L7" s="199" t="s">
        <v>742</v>
      </c>
      <c r="M7" s="198">
        <v>82</v>
      </c>
      <c r="N7" s="199" t="s">
        <v>743</v>
      </c>
      <c r="O7" s="198">
        <v>77</v>
      </c>
      <c r="P7" s="199" t="s">
        <v>744</v>
      </c>
      <c r="Q7" s="198">
        <v>40</v>
      </c>
      <c r="R7" s="199" t="s">
        <v>745</v>
      </c>
      <c r="U7" s="17" t="s">
        <v>942</v>
      </c>
      <c r="BN7" s="17">
        <v>1</v>
      </c>
      <c r="BO7" s="17" t="s">
        <v>749</v>
      </c>
      <c r="BP7" s="17">
        <v>1</v>
      </c>
      <c r="BQ7" s="17" t="s">
        <v>749</v>
      </c>
      <c r="BR7" s="17">
        <v>1</v>
      </c>
      <c r="BS7" s="17" t="s">
        <v>750</v>
      </c>
      <c r="BT7" s="17" t="s">
        <v>751</v>
      </c>
      <c r="BU7" s="17">
        <v>2</v>
      </c>
      <c r="BV7" s="17" t="s">
        <v>752</v>
      </c>
      <c r="BW7" s="17">
        <v>200</v>
      </c>
      <c r="BX7" s="17" t="s">
        <v>753</v>
      </c>
      <c r="BY7" s="17">
        <v>2</v>
      </c>
      <c r="BZ7" s="17">
        <v>1</v>
      </c>
    </row>
    <row r="8" spans="1:79" ht="22.5" customHeight="1" x14ac:dyDescent="0.3">
      <c r="H8" s="196"/>
      <c r="I8" s="198">
        <v>3</v>
      </c>
      <c r="J8" s="199" t="s">
        <v>791</v>
      </c>
      <c r="K8" s="198">
        <v>70</v>
      </c>
      <c r="L8" s="199" t="s">
        <v>792</v>
      </c>
      <c r="M8" s="198">
        <v>0</v>
      </c>
      <c r="N8" s="199" t="s">
        <v>793</v>
      </c>
      <c r="O8" s="198">
        <v>64</v>
      </c>
      <c r="P8" s="199" t="s">
        <v>794</v>
      </c>
      <c r="Q8" s="198">
        <v>57</v>
      </c>
      <c r="R8" s="199" t="s">
        <v>795</v>
      </c>
      <c r="U8" s="17" t="s">
        <v>942</v>
      </c>
      <c r="BR8" s="17">
        <v>2</v>
      </c>
      <c r="BS8" s="17" t="s">
        <v>754</v>
      </c>
      <c r="BT8" s="17" t="s">
        <v>755</v>
      </c>
      <c r="BU8" s="17">
        <v>4</v>
      </c>
      <c r="BV8" s="17" t="s">
        <v>756</v>
      </c>
      <c r="BW8" s="17">
        <v>300</v>
      </c>
      <c r="BX8" s="17" t="s">
        <v>757</v>
      </c>
      <c r="BZ8" s="17">
        <v>2</v>
      </c>
    </row>
    <row r="9" spans="1:79" ht="22.5" customHeight="1" x14ac:dyDescent="0.3">
      <c r="H9" s="196"/>
      <c r="I9" s="198">
        <v>96</v>
      </c>
      <c r="J9" s="199" t="s">
        <v>796</v>
      </c>
      <c r="K9" s="198">
        <v>70</v>
      </c>
      <c r="L9" s="199" t="s">
        <v>797</v>
      </c>
      <c r="M9" s="198">
        <v>0</v>
      </c>
      <c r="N9" s="199" t="s">
        <v>798</v>
      </c>
      <c r="O9" s="198">
        <v>64</v>
      </c>
      <c r="P9" s="199" t="s">
        <v>799</v>
      </c>
      <c r="Q9" s="198">
        <v>57</v>
      </c>
      <c r="R9" s="199" t="s">
        <v>800</v>
      </c>
      <c r="BR9" s="17">
        <v>4</v>
      </c>
      <c r="BS9" s="17" t="s">
        <v>758</v>
      </c>
      <c r="BU9" s="17">
        <v>5</v>
      </c>
      <c r="BV9" s="17" t="s">
        <v>759</v>
      </c>
      <c r="BW9" s="17">
        <v>350</v>
      </c>
      <c r="BX9" s="17" t="s">
        <v>760</v>
      </c>
      <c r="BZ9" s="17">
        <v>3</v>
      </c>
    </row>
    <row r="10" spans="1:79" ht="22.5" customHeight="1" x14ac:dyDescent="0.3">
      <c r="H10" s="196"/>
      <c r="I10" s="198">
        <v>3</v>
      </c>
      <c r="J10" s="199" t="s">
        <v>801</v>
      </c>
      <c r="K10" s="198">
        <v>62</v>
      </c>
      <c r="L10" s="199" t="s">
        <v>802</v>
      </c>
      <c r="M10" s="198">
        <v>82</v>
      </c>
      <c r="N10" s="199" t="s">
        <v>803</v>
      </c>
      <c r="O10" s="198">
        <v>71</v>
      </c>
      <c r="P10" s="199" t="s">
        <v>804</v>
      </c>
      <c r="Q10" s="198">
        <v>24</v>
      </c>
      <c r="R10" s="199" t="s">
        <v>805</v>
      </c>
      <c r="BR10" s="17">
        <v>8</v>
      </c>
      <c r="BS10" s="17" t="s">
        <v>761</v>
      </c>
      <c r="BU10" s="17">
        <v>6</v>
      </c>
      <c r="BV10" s="17" t="s">
        <v>762</v>
      </c>
      <c r="BW10" s="17">
        <v>400</v>
      </c>
      <c r="BX10" s="17" t="s">
        <v>763</v>
      </c>
      <c r="BZ10" s="17">
        <v>4</v>
      </c>
    </row>
    <row r="11" spans="1:79" ht="22.5" customHeight="1" x14ac:dyDescent="0.3">
      <c r="H11" s="196"/>
      <c r="I11" s="198">
        <v>100</v>
      </c>
      <c r="J11" s="199" t="s">
        <v>806</v>
      </c>
      <c r="K11" s="198">
        <v>70</v>
      </c>
      <c r="L11" s="199" t="s">
        <v>807</v>
      </c>
      <c r="M11" s="198">
        <v>0</v>
      </c>
      <c r="N11" s="199" t="s">
        <v>808</v>
      </c>
      <c r="O11" s="198">
        <v>64</v>
      </c>
      <c r="P11" s="199" t="s">
        <v>809</v>
      </c>
      <c r="Q11" s="198">
        <v>24</v>
      </c>
      <c r="R11" s="199" t="s">
        <v>810</v>
      </c>
      <c r="BR11" s="17">
        <v>12</v>
      </c>
      <c r="BS11" s="17" t="s">
        <v>764</v>
      </c>
      <c r="BU11" s="17">
        <v>-2</v>
      </c>
      <c r="BV11" s="17" t="s">
        <v>765</v>
      </c>
      <c r="BW11" s="17">
        <v>500</v>
      </c>
      <c r="BX11" s="17" t="s">
        <v>766</v>
      </c>
      <c r="BZ11" s="17">
        <v>5</v>
      </c>
    </row>
    <row r="12" spans="1:79" ht="22.5" customHeight="1" x14ac:dyDescent="0.3">
      <c r="I12" s="198">
        <v>96</v>
      </c>
      <c r="J12" s="199" t="s">
        <v>898</v>
      </c>
      <c r="K12" s="198">
        <v>62</v>
      </c>
      <c r="L12" s="199" t="s">
        <v>811</v>
      </c>
      <c r="M12" s="198">
        <v>82</v>
      </c>
      <c r="N12" s="199" t="s">
        <v>812</v>
      </c>
      <c r="O12" s="198">
        <v>71</v>
      </c>
      <c r="P12" s="199" t="s">
        <v>813</v>
      </c>
      <c r="Q12" s="198">
        <v>24</v>
      </c>
      <c r="R12" s="199" t="s">
        <v>814</v>
      </c>
      <c r="BW12" s="17">
        <v>-2</v>
      </c>
      <c r="BX12" s="17" t="s">
        <v>765</v>
      </c>
      <c r="BZ12" s="17">
        <v>6</v>
      </c>
    </row>
    <row r="13" spans="1:79" ht="22.5" customHeight="1" x14ac:dyDescent="0.3">
      <c r="I13" s="198">
        <v>96</v>
      </c>
      <c r="J13" s="199" t="s">
        <v>899</v>
      </c>
      <c r="K13" s="198">
        <v>62</v>
      </c>
      <c r="L13" s="199" t="s">
        <v>815</v>
      </c>
      <c r="M13" s="198">
        <v>82</v>
      </c>
      <c r="N13" s="199" t="s">
        <v>816</v>
      </c>
      <c r="O13" s="198">
        <v>71</v>
      </c>
      <c r="P13" s="199" t="s">
        <v>817</v>
      </c>
      <c r="Q13" s="198">
        <v>24</v>
      </c>
      <c r="R13" s="199" t="s">
        <v>818</v>
      </c>
      <c r="BW13" s="17">
        <v>-1</v>
      </c>
      <c r="BX13" s="17" t="s">
        <v>767</v>
      </c>
      <c r="BZ13" s="17">
        <v>7</v>
      </c>
    </row>
    <row r="14" spans="1:79" ht="22.5" customHeight="1" x14ac:dyDescent="0.3">
      <c r="I14" s="198">
        <v>96</v>
      </c>
      <c r="J14" s="199" t="s">
        <v>900</v>
      </c>
      <c r="K14" s="198">
        <v>70</v>
      </c>
      <c r="L14" s="199" t="s">
        <v>901</v>
      </c>
      <c r="M14" s="198">
        <v>91</v>
      </c>
      <c r="N14" s="199" t="s">
        <v>902</v>
      </c>
      <c r="O14" s="198">
        <v>64</v>
      </c>
      <c r="P14" s="199" t="s">
        <v>903</v>
      </c>
      <c r="Q14" s="198">
        <v>24</v>
      </c>
      <c r="R14" s="199" t="s">
        <v>819</v>
      </c>
      <c r="BW14" s="17">
        <v>-3</v>
      </c>
      <c r="BX14" s="17" t="s">
        <v>768</v>
      </c>
      <c r="BZ14" s="17">
        <v>8</v>
      </c>
    </row>
    <row r="15" spans="1:79" ht="22.5" customHeight="1" x14ac:dyDescent="0.3">
      <c r="I15" s="198">
        <v>2</v>
      </c>
      <c r="J15" s="199" t="s">
        <v>904</v>
      </c>
      <c r="K15" s="198">
        <v>62</v>
      </c>
      <c r="L15" s="199" t="s">
        <v>905</v>
      </c>
      <c r="M15" s="198">
        <v>82</v>
      </c>
      <c r="N15" s="199" t="s">
        <v>906</v>
      </c>
      <c r="O15" s="198">
        <v>71</v>
      </c>
      <c r="P15" s="199" t="s">
        <v>907</v>
      </c>
      <c r="Q15" s="198">
        <v>24</v>
      </c>
      <c r="R15" s="199" t="s">
        <v>820</v>
      </c>
    </row>
    <row r="16" spans="1:79" ht="22.5" customHeight="1" x14ac:dyDescent="0.3">
      <c r="I16" s="198">
        <v>1</v>
      </c>
      <c r="J16" s="199" t="s">
        <v>966</v>
      </c>
      <c r="K16" s="198">
        <v>62</v>
      </c>
      <c r="L16" s="199" t="s">
        <v>908</v>
      </c>
      <c r="M16" s="198">
        <v>82</v>
      </c>
      <c r="N16" s="199" t="s">
        <v>909</v>
      </c>
      <c r="O16" s="198">
        <v>71</v>
      </c>
      <c r="P16" s="199" t="s">
        <v>910</v>
      </c>
      <c r="Q16" s="198">
        <v>57</v>
      </c>
      <c r="R16" s="199" t="s">
        <v>821</v>
      </c>
    </row>
    <row r="17" spans="9:18" ht="22.5" customHeight="1" x14ac:dyDescent="0.3">
      <c r="I17" s="198">
        <v>2</v>
      </c>
      <c r="J17" s="199" t="s">
        <v>989</v>
      </c>
      <c r="K17" s="198">
        <v>102</v>
      </c>
      <c r="L17" s="199" t="s">
        <v>911</v>
      </c>
      <c r="M17" s="198">
        <v>102</v>
      </c>
      <c r="N17" s="199" t="s">
        <v>912</v>
      </c>
      <c r="O17" s="198">
        <v>65</v>
      </c>
      <c r="P17" s="199" t="s">
        <v>913</v>
      </c>
      <c r="Q17" s="198">
        <v>57</v>
      </c>
      <c r="R17" s="199" t="s">
        <v>822</v>
      </c>
    </row>
    <row r="18" spans="9:18" ht="22.5" customHeight="1" x14ac:dyDescent="0.3">
      <c r="I18" s="198">
        <v>2</v>
      </c>
      <c r="J18" s="199" t="s">
        <v>990</v>
      </c>
      <c r="K18" s="198">
        <v>70</v>
      </c>
      <c r="L18" s="199" t="s">
        <v>958</v>
      </c>
      <c r="M18" s="198">
        <v>0</v>
      </c>
      <c r="N18" s="199" t="s">
        <v>959</v>
      </c>
      <c r="O18" s="198">
        <v>64</v>
      </c>
      <c r="P18" s="199" t="s">
        <v>960</v>
      </c>
      <c r="Q18" s="198">
        <v>24</v>
      </c>
      <c r="R18" s="199" t="s">
        <v>823</v>
      </c>
    </row>
    <row r="19" spans="9:18" ht="22.5" customHeight="1" x14ac:dyDescent="0.3">
      <c r="I19" s="198">
        <v>1</v>
      </c>
      <c r="J19" s="199" t="s">
        <v>991</v>
      </c>
      <c r="K19" s="198">
        <v>96</v>
      </c>
      <c r="L19" s="199" t="s">
        <v>963</v>
      </c>
      <c r="M19" s="198">
        <v>92</v>
      </c>
      <c r="N19" s="199" t="s">
        <v>964</v>
      </c>
      <c r="O19" s="198">
        <v>64</v>
      </c>
      <c r="P19" s="199" t="s">
        <v>965</v>
      </c>
      <c r="Q19" s="198">
        <v>24</v>
      </c>
      <c r="R19" s="199" t="s">
        <v>824</v>
      </c>
    </row>
    <row r="20" spans="9:18" ht="22.5" customHeight="1" x14ac:dyDescent="0.3">
      <c r="I20" s="198">
        <v>1</v>
      </c>
      <c r="J20" s="199" t="s">
        <v>992</v>
      </c>
      <c r="K20" s="198">
        <v>1</v>
      </c>
      <c r="L20" s="199" t="s">
        <v>993</v>
      </c>
      <c r="M20" s="198">
        <v>91</v>
      </c>
      <c r="N20" s="199" t="s">
        <v>994</v>
      </c>
      <c r="O20" s="198">
        <v>64</v>
      </c>
      <c r="P20" s="199" t="s">
        <v>995</v>
      </c>
      <c r="Q20" s="198">
        <v>57</v>
      </c>
      <c r="R20" s="199" t="s">
        <v>825</v>
      </c>
    </row>
    <row r="21" spans="9:18" ht="22.5" customHeight="1" x14ac:dyDescent="0.3">
      <c r="I21" s="198"/>
      <c r="J21" s="198"/>
      <c r="K21" s="198"/>
      <c r="L21" s="198"/>
      <c r="M21" s="198"/>
      <c r="N21" s="198"/>
      <c r="O21" s="198"/>
      <c r="P21" s="198"/>
      <c r="Q21" s="198">
        <v>57</v>
      </c>
      <c r="R21" s="199" t="s">
        <v>826</v>
      </c>
    </row>
    <row r="22" spans="9:18" ht="22.5" customHeight="1" x14ac:dyDescent="0.3">
      <c r="I22" s="198"/>
      <c r="J22" s="198"/>
      <c r="K22" s="198"/>
      <c r="L22" s="198"/>
      <c r="M22" s="198"/>
      <c r="N22" s="198"/>
      <c r="O22" s="198"/>
      <c r="P22" s="198"/>
      <c r="Q22" s="198">
        <v>57</v>
      </c>
      <c r="R22" s="199" t="s">
        <v>827</v>
      </c>
    </row>
    <row r="23" spans="9:18" ht="22.5" customHeight="1" x14ac:dyDescent="0.3">
      <c r="I23" s="198"/>
      <c r="J23" s="198"/>
      <c r="K23" s="198"/>
      <c r="L23" s="198"/>
      <c r="M23" s="198"/>
      <c r="N23" s="198"/>
      <c r="O23" s="198"/>
      <c r="P23" s="198"/>
      <c r="Q23" s="198">
        <v>57</v>
      </c>
      <c r="R23" s="199" t="s">
        <v>828</v>
      </c>
    </row>
    <row r="24" spans="9:18" ht="22.5" customHeight="1" x14ac:dyDescent="0.3">
      <c r="Q24" s="198">
        <v>57</v>
      </c>
      <c r="R24" s="199" t="s">
        <v>873</v>
      </c>
    </row>
    <row r="25" spans="9:18" ht="22.5" customHeight="1" x14ac:dyDescent="0.3">
      <c r="Q25" s="198">
        <v>57</v>
      </c>
      <c r="R25" s="199" t="s">
        <v>874</v>
      </c>
    </row>
    <row r="26" spans="9:18" ht="22.5" customHeight="1" x14ac:dyDescent="0.3">
      <c r="Q26" s="198">
        <v>24</v>
      </c>
      <c r="R26" s="199" t="s">
        <v>875</v>
      </c>
    </row>
    <row r="27" spans="9:18" ht="22.5" customHeight="1" x14ac:dyDescent="0.3">
      <c r="Q27" s="198">
        <v>24</v>
      </c>
      <c r="R27" s="199" t="s">
        <v>876</v>
      </c>
    </row>
    <row r="28" spans="9:18" ht="22.5" customHeight="1" x14ac:dyDescent="0.3">
      <c r="Q28" s="198">
        <v>57</v>
      </c>
      <c r="R28" s="199" t="s">
        <v>877</v>
      </c>
    </row>
    <row r="29" spans="9:18" ht="22.5" customHeight="1" x14ac:dyDescent="0.3">
      <c r="Q29" s="198">
        <v>57</v>
      </c>
      <c r="R29" s="199" t="s">
        <v>878</v>
      </c>
    </row>
    <row r="30" spans="9:18" ht="22.5" customHeight="1" x14ac:dyDescent="0.3">
      <c r="Q30" s="198">
        <v>57</v>
      </c>
      <c r="R30" s="199" t="s">
        <v>879</v>
      </c>
    </row>
    <row r="31" spans="9:18" ht="22.5" customHeight="1" x14ac:dyDescent="0.3">
      <c r="Q31" s="198">
        <v>57</v>
      </c>
      <c r="R31" s="199" t="s">
        <v>880</v>
      </c>
    </row>
    <row r="32" spans="9:18" ht="22.5" customHeight="1" x14ac:dyDescent="0.3">
      <c r="Q32" s="198">
        <v>57</v>
      </c>
      <c r="R32" s="199" t="s">
        <v>996</v>
      </c>
    </row>
    <row r="33" spans="17:18" ht="22.5" customHeight="1" x14ac:dyDescent="0.3">
      <c r="Q33" s="198">
        <v>57</v>
      </c>
      <c r="R33" s="199" t="s">
        <v>997</v>
      </c>
    </row>
    <row r="34" spans="17:18" ht="22.5" customHeight="1" x14ac:dyDescent="0.3">
      <c r="Q34" s="198">
        <v>40</v>
      </c>
      <c r="R34" s="199" t="s">
        <v>957</v>
      </c>
    </row>
    <row r="35" spans="17:18" ht="22.5" customHeight="1" x14ac:dyDescent="0.3">
      <c r="Q35" s="198">
        <v>40</v>
      </c>
      <c r="R35" s="199" t="s">
        <v>998</v>
      </c>
    </row>
    <row r="36" spans="17:18" ht="22.5" customHeight="1" x14ac:dyDescent="0.3">
      <c r="Q36" s="198">
        <v>40</v>
      </c>
      <c r="R36" s="199" t="s">
        <v>999</v>
      </c>
    </row>
    <row r="37" spans="17:18" ht="22.5" customHeight="1" x14ac:dyDescent="0.3">
      <c r="Q37" s="198">
        <v>40</v>
      </c>
      <c r="R37" s="199" t="s">
        <v>1000</v>
      </c>
    </row>
    <row r="38" spans="17:18" ht="22.5" customHeight="1" x14ac:dyDescent="0.3">
      <c r="Q38" s="198">
        <v>40</v>
      </c>
      <c r="R38" s="199" t="s">
        <v>1001</v>
      </c>
    </row>
    <row r="39" spans="17:18" ht="22.5" customHeight="1" x14ac:dyDescent="0.3">
      <c r="Q39" s="198">
        <v>40</v>
      </c>
      <c r="R39" s="199" t="s">
        <v>1002</v>
      </c>
    </row>
    <row r="40" spans="17:18" ht="22.5" customHeight="1" x14ac:dyDescent="0.3">
      <c r="Q40" s="198">
        <v>40</v>
      </c>
      <c r="R40" s="199" t="s">
        <v>1003</v>
      </c>
    </row>
    <row r="41" spans="17:18" ht="22.5" customHeight="1" x14ac:dyDescent="0.3"/>
    <row r="42" spans="17:18" ht="22.5" customHeight="1" x14ac:dyDescent="0.3"/>
    <row r="43" spans="17:18" ht="22.5" customHeight="1" x14ac:dyDescent="0.3"/>
    <row r="44" spans="17:18" ht="22.5" customHeight="1" x14ac:dyDescent="0.3"/>
    <row r="45" spans="17:18" ht="22.5" customHeight="1" x14ac:dyDescent="0.3"/>
    <row r="46" spans="17:18" ht="22.5" customHeight="1" x14ac:dyDescent="0.3"/>
    <row r="47" spans="17:18" ht="22.5" customHeight="1" x14ac:dyDescent="0.3"/>
    <row r="48" spans="17:1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79" ht="22.5" customHeight="1" x14ac:dyDescent="0.3"/>
    <row r="146" spans="2:79" ht="22.5" customHeight="1" x14ac:dyDescent="0.3"/>
    <row r="147" spans="2:79" ht="22.5" customHeight="1" x14ac:dyDescent="0.3"/>
    <row r="148" spans="2:79" ht="22.5" customHeight="1" x14ac:dyDescent="0.3"/>
    <row r="149" spans="2:79" ht="22.5" customHeight="1" x14ac:dyDescent="0.3"/>
    <row r="150" spans="2:79" ht="22.5" customHeight="1" x14ac:dyDescent="0.3"/>
    <row r="151" spans="2:79" ht="22.5" customHeight="1" x14ac:dyDescent="0.3"/>
    <row r="152" spans="2:79" ht="22.5" customHeight="1" x14ac:dyDescent="0.3"/>
    <row r="153" spans="2:79" ht="22.5" customHeight="1" x14ac:dyDescent="0.3"/>
    <row r="154" spans="2:79" ht="22.5" customHeight="1" x14ac:dyDescent="0.3"/>
    <row r="155" spans="2:79" ht="22.5" customHeight="1" x14ac:dyDescent="0.3"/>
    <row r="156" spans="2:79" ht="22.5" customHeight="1" thickBot="1" x14ac:dyDescent="0.35"/>
    <row r="157" spans="2:79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140"/>
    </row>
  </sheetData>
  <mergeCells count="1">
    <mergeCell ref="CA1:CA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Q97"/>
  <sheetViews>
    <sheetView showZeros="0" topLeftCell="C1" zoomScaleNormal="100" zoomScaleSheetLayoutView="100" workbookViewId="0">
      <selection activeCell="F8" sqref="F8"/>
    </sheetView>
  </sheetViews>
  <sheetFormatPr baseColWidth="10" defaultColWidth="11.44140625" defaultRowHeight="13.8" x14ac:dyDescent="0.3"/>
  <cols>
    <col min="1" max="1" width="17.6640625" style="23" customWidth="1"/>
    <col min="2" max="2" width="4.88671875" style="17" customWidth="1"/>
    <col min="3" max="3" width="9.88671875" style="17" customWidth="1"/>
    <col min="4" max="4" width="16.6640625" style="17" bestFit="1" customWidth="1"/>
    <col min="5" max="5" width="4.44140625" style="17" customWidth="1"/>
    <col min="6" max="6" width="20.44140625" style="17" customWidth="1"/>
    <col min="7" max="7" width="5.5546875" style="17" customWidth="1"/>
    <col min="8" max="8" width="18.109375" style="17" customWidth="1"/>
    <col min="9" max="9" width="10.109375" style="17" customWidth="1"/>
    <col min="10" max="10" width="11.44140625" style="17"/>
    <col min="11" max="12" width="10" style="17" customWidth="1"/>
    <col min="13" max="13" width="4.6640625" style="17" customWidth="1"/>
    <col min="14" max="14" width="20.88671875" style="17" customWidth="1"/>
    <col min="15" max="15" width="4.5546875" style="17" customWidth="1"/>
    <col min="16" max="16" width="20.88671875" style="17" customWidth="1"/>
    <col min="17" max="17" width="11.44140625" style="17"/>
    <col min="18" max="18" width="16.88671875" style="17" customWidth="1"/>
    <col min="19" max="39" width="11.44140625" style="17"/>
    <col min="40" max="41" width="10.5546875" style="17" bestFit="1" customWidth="1"/>
    <col min="42" max="42" width="43" style="24" bestFit="1" customWidth="1"/>
    <col min="43" max="43" width="3.6640625" style="14" customWidth="1"/>
    <col min="44" max="16384" width="11.44140625" style="14"/>
  </cols>
  <sheetData>
    <row r="1" spans="1:43" s="139" customFormat="1" x14ac:dyDescent="0.3">
      <c r="A1" s="26" t="s">
        <v>144</v>
      </c>
      <c r="B1" s="50" t="str">
        <f t="shared" ref="B1:AO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50" t="str">
        <f t="shared" si="0"/>
        <v/>
      </c>
      <c r="D1" s="50" t="str">
        <f t="shared" si="0"/>
        <v>BZ | EZ | UZ | RR | FB | SR</v>
      </c>
      <c r="E1" s="50" t="str">
        <f t="shared" si="0"/>
        <v>ST | HO | AL | KU</v>
      </c>
      <c r="F1" s="50" t="str">
        <f t="shared" si="0"/>
        <v/>
      </c>
      <c r="G1" s="50" t="str">
        <f t="shared" si="0"/>
        <v>0 | 1</v>
      </c>
      <c r="H1" s="50" t="str">
        <f t="shared" si="0"/>
        <v/>
      </c>
      <c r="I1" s="50" t="str">
        <f t="shared" si="0"/>
        <v>0,005 | 0,01 | 0,015</v>
      </c>
      <c r="J1" s="50" t="str">
        <f t="shared" si="0"/>
        <v>0,01 | 0,015 | 0,02 | 0,025</v>
      </c>
      <c r="K1" s="50" t="str">
        <f t="shared" si="0"/>
        <v>0 | 1 | 2 | 3</v>
      </c>
      <c r="L1" s="50" t="str">
        <f t="shared" si="0"/>
        <v/>
      </c>
      <c r="M1" s="50"/>
      <c r="N1" s="50" t="str">
        <f t="shared" si="0"/>
        <v/>
      </c>
      <c r="O1" s="50"/>
      <c r="P1" s="50" t="str">
        <f t="shared" si="0"/>
        <v/>
      </c>
      <c r="Q1" s="50" t="str">
        <f t="shared" si="0"/>
        <v>0 | 2 | 3 | 4</v>
      </c>
      <c r="R1" s="50" t="str">
        <f t="shared" si="0"/>
        <v/>
      </c>
      <c r="S1" s="50" t="str">
        <f t="shared" si="0"/>
        <v>- | L | R | LR</v>
      </c>
      <c r="T1" s="50" t="str">
        <f t="shared" si="0"/>
        <v/>
      </c>
      <c r="U1" s="50" t="str">
        <f t="shared" si="0"/>
        <v>G1 | G2 | G3 | PL</v>
      </c>
      <c r="V1" s="50" t="str">
        <f t="shared" si="0"/>
        <v>undefiniert</v>
      </c>
      <c r="W1" s="50" t="str">
        <f t="shared" si="0"/>
        <v>undefiniert</v>
      </c>
      <c r="X1" s="50" t="str">
        <f t="shared" si="0"/>
        <v>undefiniert</v>
      </c>
      <c r="Y1" s="50" t="str">
        <f t="shared" si="0"/>
        <v>undefiniert</v>
      </c>
      <c r="Z1" s="50" t="str">
        <f t="shared" si="0"/>
        <v>undefiniert</v>
      </c>
      <c r="AA1" s="50" t="str">
        <f t="shared" si="0"/>
        <v>undefiniert</v>
      </c>
      <c r="AB1" s="50" t="str">
        <f t="shared" si="0"/>
        <v>undefiniert</v>
      </c>
      <c r="AC1" s="50" t="str">
        <f t="shared" si="0"/>
        <v>undefiniert</v>
      </c>
      <c r="AD1" s="50" t="str">
        <f t="shared" si="0"/>
        <v>undefiniert</v>
      </c>
      <c r="AE1" s="50" t="str">
        <f t="shared" si="0"/>
        <v>undefiniert</v>
      </c>
      <c r="AF1" s="50" t="str">
        <f t="shared" si="0"/>
        <v>undefiniert</v>
      </c>
      <c r="AG1" s="50" t="str">
        <f t="shared" si="0"/>
        <v>undefiniert</v>
      </c>
      <c r="AH1" s="50" t="str">
        <f t="shared" si="0"/>
        <v>undefiniert</v>
      </c>
      <c r="AI1" s="50" t="str">
        <f t="shared" si="0"/>
        <v>undefiniert</v>
      </c>
      <c r="AJ1" s="50" t="str">
        <f t="shared" si="0"/>
        <v>undefiniert</v>
      </c>
      <c r="AK1" s="50" t="str">
        <f t="shared" si="0"/>
        <v>undefiniert</v>
      </c>
      <c r="AL1" s="50" t="str">
        <f t="shared" si="0"/>
        <v>undefiniert</v>
      </c>
      <c r="AM1" s="50" t="str">
        <f t="shared" si="0"/>
        <v>undefiniert</v>
      </c>
      <c r="AN1" s="50" t="str">
        <f t="shared" si="0"/>
        <v>undefiniert</v>
      </c>
      <c r="AO1" s="50" t="str">
        <f t="shared" si="0"/>
        <v>undefiniert</v>
      </c>
      <c r="AP1" s="95" t="s">
        <v>87</v>
      </c>
    </row>
    <row r="2" spans="1:43" x14ac:dyDescent="0.3">
      <c r="A2" s="27" t="s">
        <v>145</v>
      </c>
      <c r="B2" s="34" t="str">
        <f t="shared" ref="B2:AO2" si="1">IF(B$3="-","-",IF(B$3=A$3,A$2+1,1))</f>
        <v>-</v>
      </c>
      <c r="C2" s="34" t="str">
        <f t="shared" si="1"/>
        <v>-</v>
      </c>
      <c r="D2" s="34" t="str">
        <f t="shared" si="1"/>
        <v>-</v>
      </c>
      <c r="E2" s="34" t="str">
        <f>IF(E$3="-","-",IF(E$3=D$3,D$2+1,1))</f>
        <v>-</v>
      </c>
      <c r="F2" s="34" t="str">
        <f>IF(F$3="-","-",IF(F$3=E$3,E$2+1,1))</f>
        <v>-</v>
      </c>
      <c r="G2" s="34" t="str">
        <f>IF(G$3="-","-",IF(G$3=E$3,E$2+1,1))</f>
        <v>-</v>
      </c>
      <c r="H2" s="34" t="str">
        <f>IF(H$3="-","-",IF(H$3=G$3,G$2+1,1))</f>
        <v>-</v>
      </c>
      <c r="I2" s="34" t="str">
        <f>IF(I$3="-","-",IF(I$3=H$3,H$2+1,1))</f>
        <v>-</v>
      </c>
      <c r="J2" s="34" t="str">
        <f>IF(J$3="-","-",IF(J$3=I$3,I$2+1,1))</f>
        <v>-</v>
      </c>
      <c r="K2" s="34" t="str">
        <f t="shared" si="1"/>
        <v>-</v>
      </c>
      <c r="L2" s="34" t="str">
        <f t="shared" si="1"/>
        <v>-</v>
      </c>
      <c r="M2" s="34"/>
      <c r="N2" s="34" t="str">
        <f>IF(N$3="-","-",IF(N$3=L$3,L$2+1,1))</f>
        <v>-</v>
      </c>
      <c r="O2" s="34"/>
      <c r="P2" s="34" t="str">
        <f>IF(P$3="-","-",IF(P$3=N$3,N$2+1,1))</f>
        <v>-</v>
      </c>
      <c r="Q2" s="34" t="str">
        <f t="shared" si="1"/>
        <v>-</v>
      </c>
      <c r="R2" s="34" t="str">
        <f t="shared" si="1"/>
        <v>-</v>
      </c>
      <c r="S2" s="34" t="str">
        <f t="shared" si="1"/>
        <v>-</v>
      </c>
      <c r="T2" s="34" t="str">
        <f t="shared" si="1"/>
        <v>-</v>
      </c>
      <c r="U2" s="34" t="str">
        <f t="shared" si="1"/>
        <v>-</v>
      </c>
      <c r="V2" s="34" t="str">
        <f t="shared" si="1"/>
        <v>-</v>
      </c>
      <c r="W2" s="34" t="str">
        <f t="shared" si="1"/>
        <v>-</v>
      </c>
      <c r="X2" s="34" t="str">
        <f t="shared" si="1"/>
        <v>-</v>
      </c>
      <c r="Y2" s="34" t="str">
        <f t="shared" si="1"/>
        <v>-</v>
      </c>
      <c r="Z2" s="34" t="str">
        <f t="shared" si="1"/>
        <v>-</v>
      </c>
      <c r="AA2" s="34" t="str">
        <f t="shared" si="1"/>
        <v>-</v>
      </c>
      <c r="AB2" s="34" t="str">
        <f t="shared" si="1"/>
        <v>-</v>
      </c>
      <c r="AC2" s="34" t="str">
        <f t="shared" si="1"/>
        <v>-</v>
      </c>
      <c r="AD2" s="34" t="str">
        <f t="shared" si="1"/>
        <v>-</v>
      </c>
      <c r="AE2" s="34" t="str">
        <f t="shared" si="1"/>
        <v>-</v>
      </c>
      <c r="AF2" s="34" t="str">
        <f t="shared" si="1"/>
        <v>-</v>
      </c>
      <c r="AG2" s="34" t="str">
        <f t="shared" si="1"/>
        <v>-</v>
      </c>
      <c r="AH2" s="34" t="str">
        <f t="shared" si="1"/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95"/>
    </row>
    <row r="3" spans="1:43" x14ac:dyDescent="0.3">
      <c r="A3" s="27" t="s">
        <v>146</v>
      </c>
      <c r="B3" s="50" t="str">
        <f t="shared" ref="B3:AO3" si="2">IF(B$5="",A$3,IFERROR(MATCH(B$5,prodArrayNames,0),"-"))</f>
        <v>-</v>
      </c>
      <c r="C3" s="50" t="str">
        <f t="shared" si="2"/>
        <v>-</v>
      </c>
      <c r="D3" s="50" t="str">
        <f t="shared" si="2"/>
        <v>-</v>
      </c>
      <c r="E3" s="50" t="str">
        <f>IF(E$5="",D$3,IFERROR(MATCH(E$5,prodArrayNames,0),"-"))</f>
        <v>-</v>
      </c>
      <c r="F3" s="50" t="str">
        <f>IF(F$5="",E$3,IFERROR(MATCH(F$5,prodArrayNames,0),"-"))</f>
        <v>-</v>
      </c>
      <c r="G3" s="50" t="str">
        <f>IF(G$5="",E$3,IFERROR(MATCH(G$5,prodArrayNames,0),"-"))</f>
        <v>-</v>
      </c>
      <c r="H3" s="50" t="str">
        <f>IF(H$5="",G$3,IFERROR(MATCH(H$5,prodArrayNames,0),"-"))</f>
        <v>-</v>
      </c>
      <c r="I3" s="50" t="str">
        <f>IF(I$5="",H$3,IFERROR(MATCH(I$5,prodArrayNames,0),"-"))</f>
        <v>-</v>
      </c>
      <c r="J3" s="50" t="str">
        <f>IF(J$5="",I$3,IFERROR(MATCH(J$5,prodArrayNames,0),"-"))</f>
        <v>-</v>
      </c>
      <c r="K3" s="50" t="str">
        <f t="shared" si="2"/>
        <v>-</v>
      </c>
      <c r="L3" s="50" t="str">
        <f t="shared" si="2"/>
        <v>-</v>
      </c>
      <c r="M3" s="50"/>
      <c r="N3" s="50" t="str">
        <f>IF(N$5="",L$3,IFERROR(MATCH(N$5,prodArrayNames,0),"-"))</f>
        <v>-</v>
      </c>
      <c r="O3" s="50"/>
      <c r="P3" s="50" t="str">
        <f>IF(P$5="",N$3,IFERROR(MATCH(P$5,prodArrayNames,0),"-"))</f>
        <v>-</v>
      </c>
      <c r="Q3" s="50" t="str">
        <f t="shared" si="2"/>
        <v>-</v>
      </c>
      <c r="R3" s="50" t="str">
        <f t="shared" si="2"/>
        <v>-</v>
      </c>
      <c r="S3" s="50" t="str">
        <f t="shared" si="2"/>
        <v>-</v>
      </c>
      <c r="T3" s="50" t="str">
        <f t="shared" si="2"/>
        <v>-</v>
      </c>
      <c r="U3" s="50" t="str">
        <f t="shared" si="2"/>
        <v>-</v>
      </c>
      <c r="V3" s="50" t="str">
        <f t="shared" si="2"/>
        <v>-</v>
      </c>
      <c r="W3" s="50" t="str">
        <f t="shared" si="2"/>
        <v>-</v>
      </c>
      <c r="X3" s="50" t="str">
        <f t="shared" si="2"/>
        <v>-</v>
      </c>
      <c r="Y3" s="50" t="str">
        <f t="shared" si="2"/>
        <v>-</v>
      </c>
      <c r="Z3" s="50" t="str">
        <f t="shared" si="2"/>
        <v>-</v>
      </c>
      <c r="AA3" s="50" t="str">
        <f t="shared" si="2"/>
        <v>-</v>
      </c>
      <c r="AB3" s="50" t="str">
        <f t="shared" si="2"/>
        <v>-</v>
      </c>
      <c r="AC3" s="50" t="str">
        <f t="shared" si="2"/>
        <v>-</v>
      </c>
      <c r="AD3" s="50" t="str">
        <f t="shared" si="2"/>
        <v>-</v>
      </c>
      <c r="AE3" s="50" t="str">
        <f t="shared" si="2"/>
        <v>-</v>
      </c>
      <c r="AF3" s="50" t="str">
        <f t="shared" si="2"/>
        <v>-</v>
      </c>
      <c r="AG3" s="50" t="str">
        <f t="shared" si="2"/>
        <v>-</v>
      </c>
      <c r="AH3" s="50" t="str">
        <f t="shared" si="2"/>
        <v>-</v>
      </c>
      <c r="AI3" s="50" t="str">
        <f t="shared" si="2"/>
        <v>-</v>
      </c>
      <c r="AJ3" s="50" t="str">
        <f t="shared" si="2"/>
        <v>-</v>
      </c>
      <c r="AK3" s="50" t="str">
        <f t="shared" si="2"/>
        <v>-</v>
      </c>
      <c r="AL3" s="50" t="str">
        <f t="shared" si="2"/>
        <v>-</v>
      </c>
      <c r="AM3" s="50" t="str">
        <f t="shared" si="2"/>
        <v>-</v>
      </c>
      <c r="AN3" s="50" t="str">
        <f t="shared" si="2"/>
        <v>-</v>
      </c>
      <c r="AO3" s="50" t="str">
        <f t="shared" si="2"/>
        <v>-</v>
      </c>
      <c r="AP3" s="95"/>
    </row>
    <row r="4" spans="1:43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95"/>
    </row>
    <row r="5" spans="1:43" ht="22.5" customHeight="1" thickTop="1" x14ac:dyDescent="0.3">
      <c r="A5" s="28" t="s">
        <v>86</v>
      </c>
      <c r="B5" s="96" t="s">
        <v>177</v>
      </c>
      <c r="C5" s="96"/>
      <c r="D5" s="96" t="s">
        <v>950</v>
      </c>
      <c r="E5" s="96" t="s">
        <v>844</v>
      </c>
      <c r="F5" s="96"/>
      <c r="G5" s="96" t="s">
        <v>777</v>
      </c>
      <c r="H5" s="96"/>
      <c r="I5" s="96" t="s">
        <v>610</v>
      </c>
      <c r="J5" s="96" t="s">
        <v>613</v>
      </c>
      <c r="K5" s="96" t="s">
        <v>607</v>
      </c>
      <c r="L5" s="96"/>
      <c r="M5" s="96" t="s">
        <v>867</v>
      </c>
      <c r="N5" s="96"/>
      <c r="O5" s="96" t="s">
        <v>868</v>
      </c>
      <c r="P5" s="96"/>
      <c r="Q5" s="96" t="s">
        <v>954</v>
      </c>
      <c r="R5" s="96"/>
      <c r="S5" s="96" t="s">
        <v>465</v>
      </c>
      <c r="T5" s="96"/>
      <c r="U5" s="96" t="s">
        <v>940</v>
      </c>
      <c r="V5" s="96" t="s">
        <v>28</v>
      </c>
      <c r="W5" s="96" t="s">
        <v>28</v>
      </c>
      <c r="X5" s="96" t="s">
        <v>28</v>
      </c>
      <c r="Y5" s="96" t="s">
        <v>28</v>
      </c>
      <c r="Z5" s="96" t="s">
        <v>28</v>
      </c>
      <c r="AA5" s="96" t="s">
        <v>28</v>
      </c>
      <c r="AB5" s="96" t="s">
        <v>28</v>
      </c>
      <c r="AC5" s="96" t="s">
        <v>28</v>
      </c>
      <c r="AD5" s="96" t="s">
        <v>28</v>
      </c>
      <c r="AE5" s="96" t="s">
        <v>28</v>
      </c>
      <c r="AF5" s="96" t="s">
        <v>28</v>
      </c>
      <c r="AG5" s="96" t="s">
        <v>28</v>
      </c>
      <c r="AH5" s="96" t="s">
        <v>28</v>
      </c>
      <c r="AI5" s="96" t="s">
        <v>28</v>
      </c>
      <c r="AJ5" s="96" t="s">
        <v>28</v>
      </c>
      <c r="AK5" s="96" t="s">
        <v>28</v>
      </c>
      <c r="AL5" s="96" t="s">
        <v>28</v>
      </c>
      <c r="AM5" s="96" t="s">
        <v>28</v>
      </c>
      <c r="AN5" s="96" t="s">
        <v>28</v>
      </c>
      <c r="AO5" s="96" t="s">
        <v>28</v>
      </c>
      <c r="AP5" s="95" t="s">
        <v>147</v>
      </c>
      <c r="AQ5" s="15"/>
    </row>
    <row r="6" spans="1:43" ht="22.5" customHeight="1" x14ac:dyDescent="0.3">
      <c r="A6" s="28" t="s">
        <v>13</v>
      </c>
      <c r="B6" s="17">
        <v>1</v>
      </c>
      <c r="C6" s="17" t="s">
        <v>170</v>
      </c>
      <c r="D6" s="17" t="s">
        <v>734</v>
      </c>
      <c r="E6" s="17" t="s">
        <v>857</v>
      </c>
      <c r="F6" s="17" t="s">
        <v>845</v>
      </c>
      <c r="G6" s="17">
        <v>0</v>
      </c>
      <c r="H6" s="17" t="s">
        <v>955</v>
      </c>
      <c r="I6" s="17">
        <v>5.0000000000000001E-3</v>
      </c>
      <c r="J6" s="17">
        <v>0.01</v>
      </c>
      <c r="K6" s="17">
        <v>0</v>
      </c>
      <c r="L6" s="17" t="s">
        <v>871</v>
      </c>
      <c r="M6" s="17" t="s">
        <v>974</v>
      </c>
      <c r="N6" s="17" t="s">
        <v>634</v>
      </c>
      <c r="O6" s="17" t="s">
        <v>974</v>
      </c>
      <c r="P6" s="17" t="s">
        <v>634</v>
      </c>
      <c r="Q6" s="17">
        <v>0</v>
      </c>
      <c r="R6" s="17" t="s">
        <v>467</v>
      </c>
      <c r="S6" s="17" t="s">
        <v>947</v>
      </c>
      <c r="T6" s="17" t="s">
        <v>467</v>
      </c>
      <c r="U6" s="17" t="s">
        <v>942</v>
      </c>
      <c r="V6" s="17" t="s">
        <v>133</v>
      </c>
      <c r="W6" s="17" t="s">
        <v>133</v>
      </c>
      <c r="X6" s="17" t="s">
        <v>133</v>
      </c>
      <c r="Y6" s="17" t="s">
        <v>133</v>
      </c>
      <c r="Z6" s="17" t="s">
        <v>133</v>
      </c>
      <c r="AA6" s="17" t="s">
        <v>133</v>
      </c>
      <c r="AB6" s="17" t="s">
        <v>133</v>
      </c>
      <c r="AC6" s="17" t="s">
        <v>133</v>
      </c>
      <c r="AD6" s="17" t="s">
        <v>133</v>
      </c>
      <c r="AE6" s="17" t="s">
        <v>133</v>
      </c>
      <c r="AF6" s="17" t="s">
        <v>133</v>
      </c>
      <c r="AG6" s="17" t="s">
        <v>133</v>
      </c>
      <c r="AH6" s="17" t="s">
        <v>133</v>
      </c>
      <c r="AI6" s="17" t="s">
        <v>133</v>
      </c>
      <c r="AJ6" s="17" t="s">
        <v>133</v>
      </c>
      <c r="AK6" s="17" t="s">
        <v>133</v>
      </c>
      <c r="AL6" s="17" t="s">
        <v>133</v>
      </c>
      <c r="AM6" s="17" t="s">
        <v>133</v>
      </c>
      <c r="AN6" s="17" t="s">
        <v>133</v>
      </c>
      <c r="AO6" s="17" t="s">
        <v>133</v>
      </c>
      <c r="AP6" s="95" t="s">
        <v>88</v>
      </c>
    </row>
    <row r="7" spans="1:43" ht="22.5" customHeight="1" x14ac:dyDescent="0.3">
      <c r="A7" s="28"/>
      <c r="B7" s="17">
        <v>4</v>
      </c>
      <c r="C7" s="17" t="s">
        <v>175</v>
      </c>
      <c r="D7" s="17" t="s">
        <v>733</v>
      </c>
      <c r="E7" s="17" t="s">
        <v>980</v>
      </c>
      <c r="F7" s="17" t="s">
        <v>846</v>
      </c>
      <c r="G7" s="17">
        <v>1</v>
      </c>
      <c r="H7" s="17" t="s">
        <v>956</v>
      </c>
      <c r="I7" s="17">
        <v>0.01</v>
      </c>
      <c r="J7" s="17">
        <v>1.4999999999999999E-2</v>
      </c>
      <c r="K7" s="17">
        <v>1</v>
      </c>
      <c r="L7" s="17" t="s">
        <v>849</v>
      </c>
      <c r="M7" s="17" t="s">
        <v>975</v>
      </c>
      <c r="N7" s="17" t="s">
        <v>852</v>
      </c>
      <c r="O7" s="17" t="s">
        <v>975</v>
      </c>
      <c r="P7" s="17" t="s">
        <v>852</v>
      </c>
      <c r="Q7" s="17">
        <v>2</v>
      </c>
      <c r="R7" s="17" t="s">
        <v>894</v>
      </c>
      <c r="S7" s="17" t="s">
        <v>948</v>
      </c>
      <c r="T7" s="17" t="s">
        <v>944</v>
      </c>
      <c r="U7" s="17" t="s">
        <v>951</v>
      </c>
      <c r="AP7" s="33"/>
    </row>
    <row r="8" spans="1:43" ht="22.5" customHeight="1" x14ac:dyDescent="0.3">
      <c r="D8" s="17" t="str">
        <f>"UZ"</f>
        <v>UZ</v>
      </c>
      <c r="E8" s="17" t="s">
        <v>856</v>
      </c>
      <c r="F8" s="17" t="s">
        <v>847</v>
      </c>
      <c r="I8" s="17">
        <v>1.4999999999999999E-2</v>
      </c>
      <c r="J8" s="17">
        <v>0.02</v>
      </c>
      <c r="K8" s="17">
        <v>2</v>
      </c>
      <c r="L8" s="17" t="s">
        <v>850</v>
      </c>
      <c r="M8" s="17" t="s">
        <v>976</v>
      </c>
      <c r="N8" s="17" t="s">
        <v>853</v>
      </c>
      <c r="O8" s="17" t="s">
        <v>976</v>
      </c>
      <c r="P8" s="17" t="s">
        <v>853</v>
      </c>
      <c r="Q8" s="17">
        <v>3</v>
      </c>
      <c r="R8" s="17" t="s">
        <v>920</v>
      </c>
      <c r="S8" s="17" t="s">
        <v>478</v>
      </c>
      <c r="T8" s="17" t="s">
        <v>945</v>
      </c>
      <c r="U8" s="17" t="s">
        <v>952</v>
      </c>
      <c r="AP8" s="33"/>
    </row>
    <row r="9" spans="1:43" ht="22.5" customHeight="1" x14ac:dyDescent="0.3">
      <c r="D9" s="17" t="s">
        <v>735</v>
      </c>
      <c r="E9" s="17" t="s">
        <v>972</v>
      </c>
      <c r="F9" s="17" t="s">
        <v>973</v>
      </c>
      <c r="J9" s="17">
        <v>2.5000000000000001E-2</v>
      </c>
      <c r="K9" s="17">
        <v>3</v>
      </c>
      <c r="L9" s="17" t="s">
        <v>851</v>
      </c>
      <c r="M9" s="17" t="s">
        <v>977</v>
      </c>
      <c r="N9" s="17" t="s">
        <v>854</v>
      </c>
      <c r="O9" s="17" t="s">
        <v>977</v>
      </c>
      <c r="P9" s="17" t="s">
        <v>854</v>
      </c>
      <c r="Q9" s="17">
        <v>4</v>
      </c>
      <c r="R9" s="17" t="s">
        <v>921</v>
      </c>
      <c r="S9" s="17" t="s">
        <v>949</v>
      </c>
      <c r="T9" s="17" t="s">
        <v>946</v>
      </c>
      <c r="U9" s="17" t="s">
        <v>953</v>
      </c>
    </row>
    <row r="10" spans="1:43" ht="22.5" customHeight="1" x14ac:dyDescent="0.3">
      <c r="D10" s="17" t="s">
        <v>924</v>
      </c>
      <c r="M10" s="17" t="s">
        <v>978</v>
      </c>
      <c r="N10" s="17" t="s">
        <v>855</v>
      </c>
      <c r="O10" s="17" t="s">
        <v>978</v>
      </c>
      <c r="P10" s="17" t="s">
        <v>855</v>
      </c>
    </row>
    <row r="11" spans="1:43" ht="22.5" customHeight="1" x14ac:dyDescent="0.3">
      <c r="D11" s="17" t="s">
        <v>925</v>
      </c>
      <c r="M11" s="17" t="s">
        <v>979</v>
      </c>
      <c r="N11" s="17" t="s">
        <v>841</v>
      </c>
      <c r="O11" s="17" t="s">
        <v>979</v>
      </c>
      <c r="P11" s="17" t="s">
        <v>841</v>
      </c>
    </row>
    <row r="12" spans="1:43" ht="22.5" customHeight="1" x14ac:dyDescent="0.3"/>
    <row r="13" spans="1:43" ht="22.5" customHeight="1" x14ac:dyDescent="0.3"/>
    <row r="14" spans="1:43" ht="22.5" customHeight="1" x14ac:dyDescent="0.3"/>
    <row r="15" spans="1:43" ht="22.5" customHeight="1" x14ac:dyDescent="0.3"/>
    <row r="16" spans="1:43" ht="22.5" customHeight="1" x14ac:dyDescent="0.3"/>
    <row r="17" ht="22.5" customHeight="1" x14ac:dyDescent="0.3"/>
    <row r="18" ht="22.5" customHeight="1" x14ac:dyDescent="0.3"/>
    <row r="19" ht="22.5" customHeight="1" x14ac:dyDescent="0.3"/>
    <row r="20" ht="22.5" customHeight="1" x14ac:dyDescent="0.3"/>
    <row r="21" ht="22.5" customHeight="1" x14ac:dyDescent="0.3"/>
    <row r="22" ht="22.5" customHeight="1" x14ac:dyDescent="0.3"/>
    <row r="23" ht="22.5" customHeight="1" x14ac:dyDescent="0.3"/>
    <row r="24" ht="22.5" customHeight="1" x14ac:dyDescent="0.3"/>
    <row r="25" ht="22.5" customHeight="1" x14ac:dyDescent="0.3"/>
    <row r="26" ht="22.5" customHeight="1" x14ac:dyDescent="0.3"/>
    <row r="27" ht="22.5" customHeight="1" x14ac:dyDescent="0.3"/>
    <row r="28" ht="22.5" customHeight="1" x14ac:dyDescent="0.3"/>
    <row r="29" ht="22.5" customHeight="1" x14ac:dyDescent="0.3"/>
    <row r="30" ht="22.5" customHeight="1" x14ac:dyDescent="0.3"/>
    <row r="31" ht="22.5" customHeight="1" x14ac:dyDescent="0.3"/>
    <row r="32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41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6"/>
    </row>
  </sheetData>
  <phoneticPr fontId="7" type="noConversion"/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141"/>
  <sheetViews>
    <sheetView zoomScale="110" zoomScaleNormal="110" workbookViewId="0">
      <selection activeCell="B6" sqref="B6"/>
    </sheetView>
  </sheetViews>
  <sheetFormatPr baseColWidth="10" defaultRowHeight="14.4" x14ac:dyDescent="0.3"/>
  <cols>
    <col min="1" max="1" width="14.33203125" customWidth="1"/>
    <col min="2" max="2" width="8.33203125" style="109" customWidth="1"/>
    <col min="3" max="3" width="38.109375" customWidth="1"/>
    <col min="4" max="4" width="42.88671875" customWidth="1"/>
  </cols>
  <sheetData>
    <row r="1" spans="1:5" s="111" customFormat="1" ht="25.8" x14ac:dyDescent="0.5">
      <c r="A1" s="112" t="s">
        <v>160</v>
      </c>
      <c r="B1" s="113"/>
      <c r="C1" s="111" t="s">
        <v>159</v>
      </c>
    </row>
    <row r="2" spans="1:5" s="111" customFormat="1" x14ac:dyDescent="0.3">
      <c r="A2" s="236"/>
      <c r="B2" s="237"/>
      <c r="C2" s="244" t="s">
        <v>170</v>
      </c>
      <c r="D2" s="244" t="s">
        <v>1042</v>
      </c>
    </row>
    <row r="3" spans="1:5" s="114" customFormat="1" x14ac:dyDescent="0.3">
      <c r="A3" s="241" t="s">
        <v>168</v>
      </c>
      <c r="B3" s="242" t="s">
        <v>169</v>
      </c>
      <c r="C3" s="243">
        <v>1</v>
      </c>
      <c r="D3" s="243">
        <v>4</v>
      </c>
    </row>
    <row r="4" spans="1:5" s="115" customFormat="1" ht="15.6" x14ac:dyDescent="0.3">
      <c r="A4" s="117" t="str">
        <f>"! --- "&amp;INDEX(MLtextDivisions,5)</f>
        <v>! --- User Interface - PageNames</v>
      </c>
      <c r="B4" s="116"/>
    </row>
    <row r="5" spans="1:5" s="238" customFormat="1" x14ac:dyDescent="0.3">
      <c r="A5" s="240" t="s">
        <v>1043</v>
      </c>
      <c r="B5" s="239">
        <v>1</v>
      </c>
      <c r="C5" s="238" t="s">
        <v>1044</v>
      </c>
      <c r="D5" s="235" t="s">
        <v>1045</v>
      </c>
      <c r="E5" s="246" t="str">
        <f t="shared" ref="E5:E56" si="0">IF(LEN($C5)-LEN(D5)&lt;0,TEXT(LEN(D5)/LEN($C5),"0 %")&amp;" ("&amp;LEN(D5)-LEN($C5)&amp;")","")</f>
        <v/>
      </c>
    </row>
    <row r="6" spans="1:5" s="238" customFormat="1" x14ac:dyDescent="0.3">
      <c r="A6" s="240" t="s">
        <v>1043</v>
      </c>
      <c r="B6" s="239">
        <v>2</v>
      </c>
      <c r="C6" s="235" t="s">
        <v>1050</v>
      </c>
      <c r="D6" s="235" t="s">
        <v>1046</v>
      </c>
      <c r="E6" s="246" t="str">
        <f t="shared" si="0"/>
        <v/>
      </c>
    </row>
    <row r="7" spans="1:5" s="238" customFormat="1" x14ac:dyDescent="0.3">
      <c r="A7" s="240" t="s">
        <v>1043</v>
      </c>
      <c r="B7" s="239">
        <v>3</v>
      </c>
      <c r="C7" s="235" t="s">
        <v>1051</v>
      </c>
      <c r="D7" s="235" t="s">
        <v>1047</v>
      </c>
      <c r="E7" s="246" t="str">
        <f t="shared" si="0"/>
        <v/>
      </c>
    </row>
    <row r="8" spans="1:5" s="238" customFormat="1" x14ac:dyDescent="0.3">
      <c r="A8" s="240" t="s">
        <v>1043</v>
      </c>
      <c r="B8" s="239">
        <v>4</v>
      </c>
      <c r="C8" s="235" t="s">
        <v>1052</v>
      </c>
      <c r="D8" s="235" t="s">
        <v>1048</v>
      </c>
      <c r="E8" s="246" t="str">
        <f t="shared" si="0"/>
        <v/>
      </c>
    </row>
    <row r="9" spans="1:5" s="238" customFormat="1" x14ac:dyDescent="0.3">
      <c r="A9" s="240" t="s">
        <v>1043</v>
      </c>
      <c r="B9" s="239">
        <v>5</v>
      </c>
      <c r="C9" s="235" t="s">
        <v>1053</v>
      </c>
      <c r="D9" s="235" t="s">
        <v>1049</v>
      </c>
      <c r="E9" s="246" t="str">
        <f t="shared" si="0"/>
        <v/>
      </c>
    </row>
    <row r="10" spans="1:5" s="238" customFormat="1" ht="15.6" x14ac:dyDescent="0.3">
      <c r="A10" s="117" t="str">
        <f>"! --- "&amp;INDEX(MLtextDivisions,1)</f>
        <v>! --- User Interface - UI_xxxFIELD text</v>
      </c>
      <c r="B10" s="239"/>
      <c r="E10" s="246" t="str">
        <f t="shared" si="0"/>
        <v/>
      </c>
    </row>
    <row r="11" spans="1:5" s="238" customFormat="1" x14ac:dyDescent="0.3">
      <c r="A11" s="240" t="s">
        <v>1054</v>
      </c>
      <c r="B11" s="232">
        <v>1</v>
      </c>
      <c r="C11" s="235" t="s">
        <v>1055</v>
      </c>
      <c r="D11" s="123" t="s">
        <v>1138</v>
      </c>
      <c r="E11" s="246" t="str">
        <f t="shared" ref="E11:E55" si="1">IF(LEN($C11)-LEN(D11)&lt;0,TEXT(LEN(D11)/LEN($C11),"0 %")&amp;" ("&amp;LEN(D11)-LEN($C11)&amp;")","")</f>
        <v/>
      </c>
    </row>
    <row r="12" spans="1:5" s="231" customFormat="1" x14ac:dyDescent="0.3">
      <c r="A12" s="240" t="s">
        <v>1054</v>
      </c>
      <c r="B12" s="232">
        <v>2</v>
      </c>
      <c r="C12" s="235" t="s">
        <v>1056</v>
      </c>
      <c r="D12" s="245" t="s">
        <v>1056</v>
      </c>
      <c r="E12" s="246" t="str">
        <f t="shared" si="1"/>
        <v/>
      </c>
    </row>
    <row r="13" spans="1:5" s="231" customFormat="1" x14ac:dyDescent="0.3">
      <c r="A13" s="240" t="s">
        <v>1054</v>
      </c>
      <c r="B13" s="239">
        <v>3</v>
      </c>
      <c r="C13" s="235" t="s">
        <v>1057</v>
      </c>
      <c r="D13" s="123" t="s">
        <v>1139</v>
      </c>
      <c r="E13" s="246" t="str">
        <f t="shared" si="1"/>
        <v>118 % (2)</v>
      </c>
    </row>
    <row r="14" spans="1:5" s="231" customFormat="1" x14ac:dyDescent="0.3">
      <c r="A14" s="240" t="s">
        <v>1054</v>
      </c>
      <c r="B14" s="239">
        <v>4</v>
      </c>
      <c r="C14" s="235" t="s">
        <v>1058</v>
      </c>
      <c r="D14" s="123" t="s">
        <v>1140</v>
      </c>
      <c r="E14" s="246" t="str">
        <f t="shared" si="1"/>
        <v/>
      </c>
    </row>
    <row r="15" spans="1:5" s="231" customFormat="1" x14ac:dyDescent="0.3">
      <c r="A15" s="240" t="s">
        <v>1054</v>
      </c>
      <c r="B15" s="239">
        <v>5</v>
      </c>
      <c r="C15" s="235" t="s">
        <v>1059</v>
      </c>
      <c r="D15" s="123" t="s">
        <v>1141</v>
      </c>
      <c r="E15" s="246" t="str">
        <f t="shared" si="1"/>
        <v/>
      </c>
    </row>
    <row r="16" spans="1:5" s="238" customFormat="1" x14ac:dyDescent="0.3">
      <c r="A16" s="240" t="s">
        <v>1054</v>
      </c>
      <c r="B16" s="239">
        <v>6</v>
      </c>
      <c r="C16" s="235" t="s">
        <v>1060</v>
      </c>
      <c r="D16" s="123" t="s">
        <v>1142</v>
      </c>
      <c r="E16" s="246" t="str">
        <f t="shared" si="1"/>
        <v/>
      </c>
    </row>
    <row r="17" spans="1:5" s="238" customFormat="1" x14ac:dyDescent="0.3">
      <c r="A17" s="240" t="s">
        <v>1054</v>
      </c>
      <c r="B17" s="239">
        <v>7</v>
      </c>
      <c r="C17" s="235" t="s">
        <v>1061</v>
      </c>
      <c r="D17" s="123" t="s">
        <v>1143</v>
      </c>
      <c r="E17" s="246" t="str">
        <f t="shared" si="1"/>
        <v>107 % (1)</v>
      </c>
    </row>
    <row r="18" spans="1:5" s="238" customFormat="1" x14ac:dyDescent="0.3">
      <c r="A18" s="240" t="s">
        <v>1054</v>
      </c>
      <c r="B18" s="239">
        <v>8</v>
      </c>
      <c r="C18" s="235" t="s">
        <v>1062</v>
      </c>
      <c r="D18" s="123" t="s">
        <v>1144</v>
      </c>
      <c r="E18" s="246" t="str">
        <f t="shared" si="1"/>
        <v/>
      </c>
    </row>
    <row r="19" spans="1:5" s="238" customFormat="1" x14ac:dyDescent="0.3">
      <c r="A19" s="240" t="s">
        <v>1054</v>
      </c>
      <c r="B19" s="239">
        <v>9</v>
      </c>
      <c r="C19" s="235" t="s">
        <v>1063</v>
      </c>
      <c r="D19" s="245" t="s">
        <v>1063</v>
      </c>
      <c r="E19" s="246" t="str">
        <f t="shared" si="1"/>
        <v/>
      </c>
    </row>
    <row r="20" spans="1:5" s="238" customFormat="1" x14ac:dyDescent="0.3">
      <c r="A20" s="240" t="s">
        <v>1054</v>
      </c>
      <c r="B20" s="239">
        <v>10</v>
      </c>
      <c r="C20" s="235" t="s">
        <v>1064</v>
      </c>
      <c r="D20" s="245" t="s">
        <v>1064</v>
      </c>
      <c r="E20" s="246" t="str">
        <f t="shared" si="1"/>
        <v/>
      </c>
    </row>
    <row r="21" spans="1:5" s="238" customFormat="1" x14ac:dyDescent="0.3">
      <c r="A21" s="240" t="s">
        <v>1054</v>
      </c>
      <c r="B21" s="239">
        <v>11</v>
      </c>
      <c r="C21" s="235" t="s">
        <v>1056</v>
      </c>
      <c r="D21" s="245" t="s">
        <v>1056</v>
      </c>
      <c r="E21" s="246" t="str">
        <f t="shared" si="1"/>
        <v/>
      </c>
    </row>
    <row r="22" spans="1:5" s="238" customFormat="1" x14ac:dyDescent="0.3">
      <c r="A22" s="240" t="s">
        <v>1054</v>
      </c>
      <c r="B22" s="239">
        <v>12</v>
      </c>
      <c r="C22" s="235" t="s">
        <v>1065</v>
      </c>
      <c r="D22" s="245" t="s">
        <v>1065</v>
      </c>
      <c r="E22" s="246" t="str">
        <f t="shared" si="1"/>
        <v/>
      </c>
    </row>
    <row r="23" spans="1:5" s="238" customFormat="1" x14ac:dyDescent="0.3">
      <c r="A23" s="240" t="s">
        <v>1054</v>
      </c>
      <c r="B23" s="239">
        <v>13</v>
      </c>
      <c r="C23" s="235" t="s">
        <v>1066</v>
      </c>
      <c r="D23" s="245" t="s">
        <v>1066</v>
      </c>
      <c r="E23" s="246" t="str">
        <f t="shared" si="1"/>
        <v/>
      </c>
    </row>
    <row r="24" spans="1:5" s="238" customFormat="1" x14ac:dyDescent="0.3">
      <c r="A24" s="240" t="s">
        <v>1054</v>
      </c>
      <c r="B24" s="239">
        <v>14</v>
      </c>
      <c r="C24" s="235" t="s">
        <v>1067</v>
      </c>
      <c r="D24" s="245" t="s">
        <v>1067</v>
      </c>
      <c r="E24" s="246" t="str">
        <f t="shared" si="1"/>
        <v/>
      </c>
    </row>
    <row r="25" spans="1:5" s="238" customFormat="1" x14ac:dyDescent="0.3">
      <c r="A25" s="240" t="s">
        <v>1054</v>
      </c>
      <c r="B25" s="239">
        <v>15</v>
      </c>
      <c r="C25" s="235" t="s">
        <v>1068</v>
      </c>
      <c r="D25" s="245" t="s">
        <v>1068</v>
      </c>
      <c r="E25" s="246" t="str">
        <f t="shared" si="1"/>
        <v/>
      </c>
    </row>
    <row r="26" spans="1:5" s="238" customFormat="1" x14ac:dyDescent="0.3">
      <c r="A26" s="240" t="s">
        <v>1054</v>
      </c>
      <c r="B26" s="239">
        <v>16</v>
      </c>
      <c r="C26" s="235" t="s">
        <v>1069</v>
      </c>
      <c r="D26" s="245" t="s">
        <v>1069</v>
      </c>
      <c r="E26" s="246" t="str">
        <f t="shared" si="1"/>
        <v/>
      </c>
    </row>
    <row r="27" spans="1:5" s="238" customFormat="1" x14ac:dyDescent="0.3">
      <c r="A27" s="240" t="s">
        <v>1054</v>
      </c>
      <c r="B27" s="239">
        <v>17</v>
      </c>
      <c r="C27" s="235" t="s">
        <v>1068</v>
      </c>
      <c r="D27" s="245" t="s">
        <v>1068</v>
      </c>
      <c r="E27" s="246" t="str">
        <f t="shared" si="1"/>
        <v/>
      </c>
    </row>
    <row r="28" spans="1:5" s="238" customFormat="1" x14ac:dyDescent="0.3">
      <c r="A28" s="240" t="s">
        <v>1054</v>
      </c>
      <c r="B28" s="239">
        <v>18</v>
      </c>
      <c r="C28" s="235" t="s">
        <v>1070</v>
      </c>
      <c r="D28" s="245" t="s">
        <v>1070</v>
      </c>
      <c r="E28" s="246" t="str">
        <f t="shared" si="1"/>
        <v/>
      </c>
    </row>
    <row r="29" spans="1:5" s="238" customFormat="1" x14ac:dyDescent="0.3">
      <c r="A29" s="240" t="s">
        <v>1054</v>
      </c>
      <c r="B29" s="239">
        <v>19</v>
      </c>
      <c r="C29" s="235" t="s">
        <v>1071</v>
      </c>
      <c r="D29" s="245" t="s">
        <v>1071</v>
      </c>
      <c r="E29" s="246" t="str">
        <f t="shared" si="1"/>
        <v/>
      </c>
    </row>
    <row r="30" spans="1:5" s="238" customFormat="1" x14ac:dyDescent="0.3">
      <c r="A30" s="240" t="s">
        <v>1054</v>
      </c>
      <c r="B30" s="239">
        <v>20</v>
      </c>
      <c r="C30" s="235" t="s">
        <v>1072</v>
      </c>
      <c r="D30" s="245" t="s">
        <v>1072</v>
      </c>
      <c r="E30" s="246" t="str">
        <f t="shared" si="1"/>
        <v/>
      </c>
    </row>
    <row r="31" spans="1:5" s="238" customFormat="1" x14ac:dyDescent="0.3">
      <c r="A31" s="240" t="s">
        <v>1054</v>
      </c>
      <c r="B31" s="239">
        <v>21</v>
      </c>
      <c r="C31" s="235" t="s">
        <v>1073</v>
      </c>
      <c r="D31" s="245" t="s">
        <v>1073</v>
      </c>
      <c r="E31" s="246" t="str">
        <f t="shared" si="1"/>
        <v/>
      </c>
    </row>
    <row r="32" spans="1:5" s="238" customFormat="1" x14ac:dyDescent="0.3">
      <c r="A32" s="240" t="s">
        <v>1054</v>
      </c>
      <c r="B32" s="239">
        <v>22</v>
      </c>
      <c r="C32" s="235" t="s">
        <v>1074</v>
      </c>
      <c r="D32" s="245" t="s">
        <v>1074</v>
      </c>
      <c r="E32" s="246" t="str">
        <f t="shared" si="1"/>
        <v/>
      </c>
    </row>
    <row r="33" spans="1:5" s="238" customFormat="1" x14ac:dyDescent="0.3">
      <c r="A33" s="240" t="s">
        <v>1054</v>
      </c>
      <c r="B33" s="239">
        <v>23</v>
      </c>
      <c r="C33" s="235" t="s">
        <v>1075</v>
      </c>
      <c r="D33" s="245" t="s">
        <v>1075</v>
      </c>
      <c r="E33" s="246" t="str">
        <f t="shared" si="1"/>
        <v/>
      </c>
    </row>
    <row r="34" spans="1:5" s="238" customFormat="1" x14ac:dyDescent="0.3">
      <c r="A34" s="240" t="s">
        <v>1054</v>
      </c>
      <c r="B34" s="239">
        <v>24</v>
      </c>
      <c r="C34" s="235" t="s">
        <v>1071</v>
      </c>
      <c r="D34" s="245" t="s">
        <v>1071</v>
      </c>
      <c r="E34" s="246" t="str">
        <f t="shared" si="1"/>
        <v/>
      </c>
    </row>
    <row r="35" spans="1:5" s="238" customFormat="1" x14ac:dyDescent="0.3">
      <c r="A35" s="240" t="s">
        <v>1054</v>
      </c>
      <c r="B35" s="239">
        <v>25</v>
      </c>
      <c r="C35" s="235" t="s">
        <v>1068</v>
      </c>
      <c r="D35" s="245" t="s">
        <v>1068</v>
      </c>
      <c r="E35" s="246" t="str">
        <f t="shared" si="1"/>
        <v/>
      </c>
    </row>
    <row r="36" spans="1:5" s="238" customFormat="1" x14ac:dyDescent="0.3">
      <c r="A36" s="240" t="s">
        <v>1054</v>
      </c>
      <c r="B36" s="239">
        <v>26</v>
      </c>
      <c r="C36" s="235" t="s">
        <v>1076</v>
      </c>
      <c r="D36" s="245" t="s">
        <v>1076</v>
      </c>
      <c r="E36" s="246" t="str">
        <f t="shared" si="1"/>
        <v/>
      </c>
    </row>
    <row r="37" spans="1:5" s="238" customFormat="1" x14ac:dyDescent="0.3">
      <c r="A37" s="240" t="s">
        <v>1054</v>
      </c>
      <c r="B37" s="239">
        <v>27</v>
      </c>
      <c r="C37" s="235" t="s">
        <v>1077</v>
      </c>
      <c r="D37" s="245" t="s">
        <v>1077</v>
      </c>
      <c r="E37" s="246" t="str">
        <f t="shared" si="1"/>
        <v/>
      </c>
    </row>
    <row r="38" spans="1:5" s="238" customFormat="1" x14ac:dyDescent="0.3">
      <c r="A38" s="240" t="s">
        <v>1054</v>
      </c>
      <c r="B38" s="239">
        <v>28</v>
      </c>
      <c r="C38" s="235" t="s">
        <v>1078</v>
      </c>
      <c r="D38" s="245" t="s">
        <v>1078</v>
      </c>
      <c r="E38" s="246" t="str">
        <f t="shared" si="1"/>
        <v/>
      </c>
    </row>
    <row r="39" spans="1:5" s="238" customFormat="1" x14ac:dyDescent="0.3">
      <c r="A39" s="240" t="s">
        <v>1054</v>
      </c>
      <c r="B39" s="239">
        <v>29</v>
      </c>
      <c r="C39" s="235" t="s">
        <v>1079</v>
      </c>
      <c r="D39" s="245" t="s">
        <v>1079</v>
      </c>
      <c r="E39" s="246" t="str">
        <f t="shared" si="1"/>
        <v/>
      </c>
    </row>
    <row r="40" spans="1:5" s="238" customFormat="1" x14ac:dyDescent="0.3">
      <c r="A40" s="240" t="s">
        <v>1054</v>
      </c>
      <c r="B40" s="239">
        <v>30</v>
      </c>
      <c r="C40" s="235" t="s">
        <v>1080</v>
      </c>
      <c r="D40" s="245" t="s">
        <v>1080</v>
      </c>
      <c r="E40" s="246" t="str">
        <f t="shared" si="1"/>
        <v/>
      </c>
    </row>
    <row r="41" spans="1:5" s="238" customFormat="1" x14ac:dyDescent="0.3">
      <c r="A41" s="240" t="s">
        <v>1054</v>
      </c>
      <c r="B41" s="239">
        <v>31</v>
      </c>
      <c r="C41" s="235" t="s">
        <v>1081</v>
      </c>
      <c r="D41" s="245" t="s">
        <v>1081</v>
      </c>
      <c r="E41" s="246" t="str">
        <f t="shared" si="1"/>
        <v/>
      </c>
    </row>
    <row r="42" spans="1:5" s="238" customFormat="1" x14ac:dyDescent="0.3">
      <c r="A42" s="240" t="s">
        <v>1054</v>
      </c>
      <c r="B42" s="239">
        <v>32</v>
      </c>
      <c r="C42" s="235" t="s">
        <v>1082</v>
      </c>
      <c r="D42" s="245" t="s">
        <v>1082</v>
      </c>
      <c r="E42" s="246" t="str">
        <f t="shared" si="1"/>
        <v/>
      </c>
    </row>
    <row r="43" spans="1:5" s="238" customFormat="1" x14ac:dyDescent="0.3">
      <c r="A43" s="240" t="s">
        <v>1054</v>
      </c>
      <c r="B43" s="239">
        <v>33</v>
      </c>
      <c r="C43" s="235" t="s">
        <v>1083</v>
      </c>
      <c r="D43" s="245" t="s">
        <v>1083</v>
      </c>
      <c r="E43" s="246" t="str">
        <f t="shared" si="1"/>
        <v/>
      </c>
    </row>
    <row r="44" spans="1:5" s="238" customFormat="1" x14ac:dyDescent="0.3">
      <c r="A44" s="240" t="s">
        <v>1054</v>
      </c>
      <c r="B44" s="239">
        <v>34</v>
      </c>
      <c r="C44" s="235" t="s">
        <v>1084</v>
      </c>
      <c r="D44" s="245" t="s">
        <v>1084</v>
      </c>
      <c r="E44" s="246" t="str">
        <f t="shared" si="1"/>
        <v/>
      </c>
    </row>
    <row r="45" spans="1:5" s="238" customFormat="1" x14ac:dyDescent="0.3">
      <c r="A45" s="240" t="s">
        <v>1054</v>
      </c>
      <c r="B45" s="239">
        <v>35</v>
      </c>
      <c r="C45" s="235" t="s">
        <v>1085</v>
      </c>
      <c r="D45" s="245" t="s">
        <v>1085</v>
      </c>
      <c r="E45" s="246" t="str">
        <f t="shared" si="1"/>
        <v/>
      </c>
    </row>
    <row r="46" spans="1:5" s="238" customFormat="1" x14ac:dyDescent="0.3">
      <c r="A46" s="240" t="s">
        <v>1054</v>
      </c>
      <c r="B46" s="239">
        <v>36</v>
      </c>
      <c r="C46" s="235" t="s">
        <v>1086</v>
      </c>
      <c r="D46" s="245" t="s">
        <v>1086</v>
      </c>
      <c r="E46" s="246" t="str">
        <f t="shared" si="1"/>
        <v/>
      </c>
    </row>
    <row r="47" spans="1:5" s="238" customFormat="1" x14ac:dyDescent="0.3">
      <c r="A47" s="240" t="s">
        <v>1054</v>
      </c>
      <c r="B47" s="239">
        <v>37</v>
      </c>
      <c r="C47" s="235" t="s">
        <v>1087</v>
      </c>
      <c r="D47" s="245" t="s">
        <v>1087</v>
      </c>
      <c r="E47" s="246" t="str">
        <f t="shared" si="1"/>
        <v/>
      </c>
    </row>
    <row r="48" spans="1:5" s="238" customFormat="1" x14ac:dyDescent="0.3">
      <c r="A48" s="240" t="s">
        <v>1054</v>
      </c>
      <c r="B48" s="239">
        <v>38</v>
      </c>
      <c r="C48" s="235" t="s">
        <v>1088</v>
      </c>
      <c r="D48" s="245" t="s">
        <v>1088</v>
      </c>
      <c r="E48" s="246" t="str">
        <f t="shared" si="1"/>
        <v/>
      </c>
    </row>
    <row r="49" spans="1:5" s="238" customFormat="1" x14ac:dyDescent="0.3">
      <c r="A49" s="240" t="s">
        <v>1054</v>
      </c>
      <c r="B49" s="239">
        <v>39</v>
      </c>
      <c r="C49" s="235" t="s">
        <v>1089</v>
      </c>
      <c r="D49" s="245" t="s">
        <v>1089</v>
      </c>
      <c r="E49" s="246" t="str">
        <f t="shared" si="1"/>
        <v/>
      </c>
    </row>
    <row r="50" spans="1:5" s="238" customFormat="1" x14ac:dyDescent="0.3">
      <c r="A50" s="240" t="s">
        <v>1054</v>
      </c>
      <c r="B50" s="239">
        <v>40</v>
      </c>
      <c r="C50" s="235" t="s">
        <v>1090</v>
      </c>
      <c r="D50" s="245" t="s">
        <v>1090</v>
      </c>
      <c r="E50" s="246" t="str">
        <f t="shared" si="1"/>
        <v/>
      </c>
    </row>
    <row r="51" spans="1:5" s="238" customFormat="1" x14ac:dyDescent="0.3">
      <c r="A51" s="240" t="s">
        <v>1054</v>
      </c>
      <c r="B51" s="239">
        <v>41</v>
      </c>
      <c r="C51" s="235" t="s">
        <v>1091</v>
      </c>
      <c r="D51" s="245" t="s">
        <v>1091</v>
      </c>
      <c r="E51" s="246" t="str">
        <f t="shared" si="1"/>
        <v/>
      </c>
    </row>
    <row r="52" spans="1:5" s="238" customFormat="1" x14ac:dyDescent="0.3">
      <c r="A52" s="240" t="s">
        <v>1054</v>
      </c>
      <c r="B52" s="239">
        <v>42</v>
      </c>
      <c r="C52" s="235" t="s">
        <v>1092</v>
      </c>
      <c r="D52" s="245" t="s">
        <v>1092</v>
      </c>
      <c r="E52" s="246" t="str">
        <f t="shared" si="1"/>
        <v/>
      </c>
    </row>
    <row r="53" spans="1:5" s="238" customFormat="1" x14ac:dyDescent="0.3">
      <c r="A53" s="240" t="s">
        <v>1054</v>
      </c>
      <c r="B53" s="239">
        <v>43</v>
      </c>
      <c r="C53" s="235" t="s">
        <v>1093</v>
      </c>
      <c r="D53" s="245" t="s">
        <v>1093</v>
      </c>
      <c r="E53" s="246" t="str">
        <f t="shared" si="1"/>
        <v/>
      </c>
    </row>
    <row r="54" spans="1:5" s="238" customFormat="1" x14ac:dyDescent="0.3">
      <c r="A54" s="240" t="s">
        <v>1054</v>
      </c>
      <c r="B54" s="239">
        <v>44</v>
      </c>
      <c r="C54" s="235" t="s">
        <v>1094</v>
      </c>
      <c r="D54" s="245" t="s">
        <v>1094</v>
      </c>
      <c r="E54" s="246" t="str">
        <f t="shared" si="1"/>
        <v/>
      </c>
    </row>
    <row r="55" spans="1:5" s="238" customFormat="1" x14ac:dyDescent="0.3">
      <c r="A55" s="240" t="s">
        <v>1054</v>
      </c>
      <c r="B55" s="239">
        <v>45</v>
      </c>
      <c r="C55" s="235" t="s">
        <v>1095</v>
      </c>
      <c r="D55" s="245" t="s">
        <v>1095</v>
      </c>
      <c r="E55" s="246" t="str">
        <f t="shared" si="1"/>
        <v/>
      </c>
    </row>
    <row r="56" spans="1:5" ht="15.6" x14ac:dyDescent="0.3">
      <c r="A56" s="118" t="str">
        <f>"! --- "&amp;INDEX(MLtextDivisions,2)</f>
        <v>! --- User Interface - Tooltip text</v>
      </c>
      <c r="E56" s="246" t="str">
        <f t="shared" si="0"/>
        <v/>
      </c>
    </row>
    <row r="57" spans="1:5" s="123" customFormat="1" x14ac:dyDescent="0.3">
      <c r="A57" s="122" t="s">
        <v>1096</v>
      </c>
      <c r="B57" s="122">
        <v>1</v>
      </c>
      <c r="C57" s="123" t="s">
        <v>1097</v>
      </c>
      <c r="D57" s="123" t="s">
        <v>1147</v>
      </c>
      <c r="E57" s="246" t="str">
        <f>IF(LEN($C57)-LEN(D57)&lt;0,TEXT(LEN(D57)/LEN($C57),"0 %")&amp;" ("&amp;LEN(D57)-LEN($C57)&amp;")","")</f>
        <v/>
      </c>
    </row>
    <row r="58" spans="1:5" s="123" customFormat="1" x14ac:dyDescent="0.3">
      <c r="A58" s="240" t="s">
        <v>1096</v>
      </c>
      <c r="B58" s="240">
        <v>2</v>
      </c>
      <c r="C58" s="123" t="s">
        <v>576</v>
      </c>
      <c r="D58" s="123" t="s">
        <v>1148</v>
      </c>
      <c r="E58" s="246" t="str">
        <f>IF(LEN($C58)-LEN(D58)&lt;0,TEXT(LEN(D58)/LEN($C58),"0 %")&amp;" ("&amp;LEN(D58)-LEN($C58)&amp;")","")</f>
        <v/>
      </c>
    </row>
    <row r="59" spans="1:5" s="123" customFormat="1" x14ac:dyDescent="0.3">
      <c r="A59" s="240" t="s">
        <v>1096</v>
      </c>
      <c r="B59" s="240">
        <v>3</v>
      </c>
      <c r="C59" s="123" t="s">
        <v>1098</v>
      </c>
      <c r="D59" s="245" t="s">
        <v>1098</v>
      </c>
      <c r="E59" s="246" t="str">
        <f t="shared" ref="E59:E122" si="2">IF(LEN($C59)-LEN(D59)&lt;0,TEXT(LEN(D59)/LEN($C59),"0 %")&amp;" ("&amp;LEN(D59)-LEN($C59)&amp;")","")</f>
        <v/>
      </c>
    </row>
    <row r="60" spans="1:5" s="123" customFormat="1" x14ac:dyDescent="0.3">
      <c r="A60" s="240" t="s">
        <v>1096</v>
      </c>
      <c r="B60" s="240">
        <v>4</v>
      </c>
      <c r="C60" s="123" t="s">
        <v>1099</v>
      </c>
      <c r="D60" s="245" t="s">
        <v>1099</v>
      </c>
      <c r="E60" s="246" t="str">
        <f t="shared" si="2"/>
        <v/>
      </c>
    </row>
    <row r="61" spans="1:5" s="123" customFormat="1" x14ac:dyDescent="0.3">
      <c r="A61" s="240" t="s">
        <v>1096</v>
      </c>
      <c r="B61" s="240">
        <v>5</v>
      </c>
      <c r="C61" s="123" t="s">
        <v>1100</v>
      </c>
      <c r="D61" s="245" t="s">
        <v>1100</v>
      </c>
      <c r="E61" s="246" t="str">
        <f t="shared" si="2"/>
        <v/>
      </c>
    </row>
    <row r="62" spans="1:5" s="123" customFormat="1" x14ac:dyDescent="0.3">
      <c r="A62" s="240" t="s">
        <v>1096</v>
      </c>
      <c r="B62" s="240">
        <v>6</v>
      </c>
      <c r="C62" s="123" t="s">
        <v>1101</v>
      </c>
      <c r="D62" s="245" t="s">
        <v>1101</v>
      </c>
      <c r="E62" s="246" t="str">
        <f t="shared" si="2"/>
        <v/>
      </c>
    </row>
    <row r="63" spans="1:5" s="123" customFormat="1" x14ac:dyDescent="0.3">
      <c r="A63" s="240" t="s">
        <v>1096</v>
      </c>
      <c r="B63" s="240">
        <v>7</v>
      </c>
      <c r="C63" s="123" t="s">
        <v>1102</v>
      </c>
      <c r="D63" s="245" t="s">
        <v>1102</v>
      </c>
      <c r="E63" s="246" t="str">
        <f t="shared" si="2"/>
        <v/>
      </c>
    </row>
    <row r="64" spans="1:5" s="123" customFormat="1" x14ac:dyDescent="0.3">
      <c r="A64" s="240" t="s">
        <v>1096</v>
      </c>
      <c r="B64" s="240">
        <v>8</v>
      </c>
      <c r="C64" s="123" t="s">
        <v>1103</v>
      </c>
      <c r="D64" s="245" t="s">
        <v>1103</v>
      </c>
      <c r="E64" s="246" t="str">
        <f t="shared" si="2"/>
        <v/>
      </c>
    </row>
    <row r="65" spans="1:5" s="123" customFormat="1" x14ac:dyDescent="0.3">
      <c r="A65" s="240" t="s">
        <v>1096</v>
      </c>
      <c r="B65" s="240">
        <v>9</v>
      </c>
      <c r="C65" s="123" t="s">
        <v>1104</v>
      </c>
      <c r="D65" s="245" t="s">
        <v>1104</v>
      </c>
      <c r="E65" s="246" t="str">
        <f t="shared" si="2"/>
        <v/>
      </c>
    </row>
    <row r="66" spans="1:5" s="123" customFormat="1" x14ac:dyDescent="0.3">
      <c r="A66" s="240" t="s">
        <v>1096</v>
      </c>
      <c r="B66" s="240">
        <v>10</v>
      </c>
      <c r="C66" s="123" t="s">
        <v>1105</v>
      </c>
      <c r="D66" s="245" t="s">
        <v>1105</v>
      </c>
      <c r="E66" s="246" t="str">
        <f t="shared" si="2"/>
        <v/>
      </c>
    </row>
    <row r="67" spans="1:5" s="123" customFormat="1" x14ac:dyDescent="0.3">
      <c r="A67" s="240" t="s">
        <v>1096</v>
      </c>
      <c r="B67" s="240">
        <v>11</v>
      </c>
      <c r="C67" s="123" t="s">
        <v>1106</v>
      </c>
      <c r="D67" s="245" t="s">
        <v>1106</v>
      </c>
      <c r="E67" s="246" t="str">
        <f t="shared" si="2"/>
        <v/>
      </c>
    </row>
    <row r="68" spans="1:5" s="123" customFormat="1" x14ac:dyDescent="0.3">
      <c r="A68" s="240" t="s">
        <v>1096</v>
      </c>
      <c r="B68" s="240">
        <v>12</v>
      </c>
      <c r="C68" s="123" t="s">
        <v>1107</v>
      </c>
      <c r="D68" s="245" t="s">
        <v>1107</v>
      </c>
      <c r="E68" s="246" t="str">
        <f t="shared" si="2"/>
        <v/>
      </c>
    </row>
    <row r="69" spans="1:5" s="123" customFormat="1" x14ac:dyDescent="0.3">
      <c r="A69" s="240" t="s">
        <v>1096</v>
      </c>
      <c r="B69" s="240">
        <v>13</v>
      </c>
      <c r="C69" s="123" t="s">
        <v>1108</v>
      </c>
      <c r="D69" s="245" t="s">
        <v>1108</v>
      </c>
      <c r="E69" s="246" t="str">
        <f t="shared" si="2"/>
        <v/>
      </c>
    </row>
    <row r="70" spans="1:5" s="123" customFormat="1" x14ac:dyDescent="0.3">
      <c r="A70" s="240" t="s">
        <v>1096</v>
      </c>
      <c r="B70" s="240">
        <v>14</v>
      </c>
      <c r="C70" s="123" t="s">
        <v>1109</v>
      </c>
      <c r="D70" s="245" t="s">
        <v>1109</v>
      </c>
      <c r="E70" s="246" t="str">
        <f t="shared" si="2"/>
        <v/>
      </c>
    </row>
    <row r="71" spans="1:5" s="123" customFormat="1" x14ac:dyDescent="0.3">
      <c r="A71" s="240" t="s">
        <v>1096</v>
      </c>
      <c r="B71" s="240">
        <v>15</v>
      </c>
      <c r="C71" s="123" t="s">
        <v>1110</v>
      </c>
      <c r="D71" s="245" t="s">
        <v>1110</v>
      </c>
      <c r="E71" s="246" t="str">
        <f t="shared" si="2"/>
        <v/>
      </c>
    </row>
    <row r="72" spans="1:5" s="123" customFormat="1" x14ac:dyDescent="0.3">
      <c r="A72" s="240" t="s">
        <v>1096</v>
      </c>
      <c r="B72" s="240">
        <v>16</v>
      </c>
      <c r="C72" s="123" t="s">
        <v>674</v>
      </c>
      <c r="D72" s="245" t="s">
        <v>674</v>
      </c>
      <c r="E72" s="246" t="str">
        <f t="shared" si="2"/>
        <v/>
      </c>
    </row>
    <row r="73" spans="1:5" s="123" customFormat="1" x14ac:dyDescent="0.3">
      <c r="A73" s="240" t="s">
        <v>1096</v>
      </c>
      <c r="B73" s="240">
        <v>17</v>
      </c>
      <c r="C73" s="123" t="s">
        <v>1111</v>
      </c>
      <c r="D73" s="245" t="s">
        <v>1111</v>
      </c>
      <c r="E73" s="246" t="str">
        <f t="shared" si="2"/>
        <v/>
      </c>
    </row>
    <row r="74" spans="1:5" s="123" customFormat="1" x14ac:dyDescent="0.3">
      <c r="A74" s="240" t="s">
        <v>1096</v>
      </c>
      <c r="B74" s="240">
        <v>18</v>
      </c>
      <c r="C74" s="123" t="s">
        <v>1112</v>
      </c>
      <c r="D74" s="245" t="s">
        <v>1112</v>
      </c>
      <c r="E74" s="246" t="str">
        <f t="shared" si="2"/>
        <v/>
      </c>
    </row>
    <row r="75" spans="1:5" s="123" customFormat="1" x14ac:dyDescent="0.3">
      <c r="A75" s="240" t="s">
        <v>1096</v>
      </c>
      <c r="B75" s="240">
        <v>19</v>
      </c>
      <c r="C75" s="123" t="s">
        <v>1113</v>
      </c>
      <c r="D75" s="245" t="s">
        <v>1113</v>
      </c>
      <c r="E75" s="246" t="str">
        <f t="shared" si="2"/>
        <v/>
      </c>
    </row>
    <row r="76" spans="1:5" s="123" customFormat="1" x14ac:dyDescent="0.3">
      <c r="A76" s="240" t="s">
        <v>1096</v>
      </c>
      <c r="B76" s="240">
        <v>20</v>
      </c>
      <c r="C76" s="123" t="s">
        <v>1114</v>
      </c>
      <c r="D76" s="245" t="s">
        <v>1114</v>
      </c>
      <c r="E76" s="246" t="str">
        <f t="shared" si="2"/>
        <v/>
      </c>
    </row>
    <row r="77" spans="1:5" s="123" customFormat="1" x14ac:dyDescent="0.3">
      <c r="A77" s="240" t="s">
        <v>1096</v>
      </c>
      <c r="B77" s="240">
        <v>21</v>
      </c>
      <c r="C77" s="123" t="s">
        <v>642</v>
      </c>
      <c r="D77" s="245" t="s">
        <v>642</v>
      </c>
      <c r="E77" s="246" t="str">
        <f t="shared" si="2"/>
        <v/>
      </c>
    </row>
    <row r="78" spans="1:5" s="123" customFormat="1" x14ac:dyDescent="0.3">
      <c r="A78" s="240" t="s">
        <v>1096</v>
      </c>
      <c r="B78" s="240">
        <v>22</v>
      </c>
      <c r="C78" s="123" t="s">
        <v>646</v>
      </c>
      <c r="D78" s="245" t="s">
        <v>646</v>
      </c>
      <c r="E78" s="246" t="str">
        <f t="shared" si="2"/>
        <v/>
      </c>
    </row>
    <row r="79" spans="1:5" s="123" customFormat="1" x14ac:dyDescent="0.3">
      <c r="A79" s="240" t="s">
        <v>1096</v>
      </c>
      <c r="B79" s="240">
        <v>23</v>
      </c>
      <c r="C79" s="123" t="s">
        <v>648</v>
      </c>
      <c r="D79" s="245" t="s">
        <v>648</v>
      </c>
      <c r="E79" s="246" t="str">
        <f t="shared" si="2"/>
        <v/>
      </c>
    </row>
    <row r="80" spans="1:5" s="123" customFormat="1" x14ac:dyDescent="0.3">
      <c r="A80" s="240" t="s">
        <v>1096</v>
      </c>
      <c r="B80" s="240">
        <v>24</v>
      </c>
      <c r="C80" s="123" t="s">
        <v>644</v>
      </c>
      <c r="D80" s="245" t="s">
        <v>644</v>
      </c>
      <c r="E80" s="246" t="str">
        <f t="shared" si="2"/>
        <v/>
      </c>
    </row>
    <row r="81" spans="1:5" s="123" customFormat="1" x14ac:dyDescent="0.3">
      <c r="A81" s="240" t="s">
        <v>1096</v>
      </c>
      <c r="B81" s="240">
        <v>25</v>
      </c>
      <c r="C81" s="123" t="s">
        <v>670</v>
      </c>
      <c r="D81" s="245" t="s">
        <v>670</v>
      </c>
      <c r="E81" s="246" t="str">
        <f t="shared" si="2"/>
        <v/>
      </c>
    </row>
    <row r="82" spans="1:5" s="123" customFormat="1" x14ac:dyDescent="0.3">
      <c r="A82" s="240" t="s">
        <v>1096</v>
      </c>
      <c r="B82" s="240">
        <v>26</v>
      </c>
      <c r="C82" s="123" t="s">
        <v>1115</v>
      </c>
      <c r="D82" s="245" t="s">
        <v>1115</v>
      </c>
      <c r="E82" s="246" t="str">
        <f t="shared" si="2"/>
        <v/>
      </c>
    </row>
    <row r="83" spans="1:5" s="123" customFormat="1" x14ac:dyDescent="0.3">
      <c r="A83" s="240" t="s">
        <v>1096</v>
      </c>
      <c r="B83" s="240">
        <v>27</v>
      </c>
      <c r="C83" s="123" t="s">
        <v>1150</v>
      </c>
      <c r="D83" s="245" t="s">
        <v>1150</v>
      </c>
      <c r="E83" s="246" t="str">
        <f t="shared" si="2"/>
        <v/>
      </c>
    </row>
    <row r="84" spans="1:5" s="123" customFormat="1" x14ac:dyDescent="0.3">
      <c r="A84" s="240" t="s">
        <v>1096</v>
      </c>
      <c r="B84" s="240">
        <v>28</v>
      </c>
      <c r="C84" s="123" t="s">
        <v>1151</v>
      </c>
      <c r="D84" s="245" t="s">
        <v>1151</v>
      </c>
      <c r="E84" s="246" t="str">
        <f t="shared" si="2"/>
        <v/>
      </c>
    </row>
    <row r="85" spans="1:5" s="123" customFormat="1" x14ac:dyDescent="0.3">
      <c r="A85" s="240" t="s">
        <v>1096</v>
      </c>
      <c r="B85" s="240">
        <v>29</v>
      </c>
      <c r="C85" s="123" t="s">
        <v>1116</v>
      </c>
      <c r="D85" s="245" t="s">
        <v>1116</v>
      </c>
      <c r="E85" s="246" t="str">
        <f t="shared" si="2"/>
        <v/>
      </c>
    </row>
    <row r="86" spans="1:5" s="123" customFormat="1" x14ac:dyDescent="0.3">
      <c r="A86" s="240" t="s">
        <v>1096</v>
      </c>
      <c r="B86" s="240">
        <v>30</v>
      </c>
      <c r="C86" s="123" t="s">
        <v>1117</v>
      </c>
      <c r="D86" s="245" t="s">
        <v>1117</v>
      </c>
      <c r="E86" s="246" t="str">
        <f t="shared" si="2"/>
        <v/>
      </c>
    </row>
    <row r="87" spans="1:5" s="123" customFormat="1" x14ac:dyDescent="0.3">
      <c r="A87" s="240" t="s">
        <v>1096</v>
      </c>
      <c r="B87" s="240">
        <v>31</v>
      </c>
      <c r="C87" s="123" t="s">
        <v>1118</v>
      </c>
      <c r="D87" s="245" t="s">
        <v>1118</v>
      </c>
      <c r="E87" s="246" t="str">
        <f t="shared" si="2"/>
        <v/>
      </c>
    </row>
    <row r="88" spans="1:5" s="123" customFormat="1" x14ac:dyDescent="0.3">
      <c r="A88" s="240" t="s">
        <v>1096</v>
      </c>
      <c r="B88" s="240">
        <v>32</v>
      </c>
      <c r="C88" s="123" t="s">
        <v>1152</v>
      </c>
      <c r="D88" s="245" t="s">
        <v>1152</v>
      </c>
      <c r="E88" s="246" t="str">
        <f t="shared" si="2"/>
        <v/>
      </c>
    </row>
    <row r="89" spans="1:5" s="123" customFormat="1" x14ac:dyDescent="0.3">
      <c r="A89" s="240" t="s">
        <v>1096</v>
      </c>
      <c r="B89" s="240">
        <v>33</v>
      </c>
      <c r="C89" s="123" t="s">
        <v>1153</v>
      </c>
      <c r="D89" s="245" t="s">
        <v>1153</v>
      </c>
      <c r="E89" s="246" t="str">
        <f t="shared" si="2"/>
        <v/>
      </c>
    </row>
    <row r="90" spans="1:5" s="123" customFormat="1" x14ac:dyDescent="0.3">
      <c r="A90" s="240" t="s">
        <v>1096</v>
      </c>
      <c r="B90" s="240">
        <v>34</v>
      </c>
      <c r="C90" s="123" t="s">
        <v>1154</v>
      </c>
      <c r="D90" s="245" t="s">
        <v>1154</v>
      </c>
      <c r="E90" s="246" t="str">
        <f t="shared" si="2"/>
        <v/>
      </c>
    </row>
    <row r="91" spans="1:5" s="123" customFormat="1" x14ac:dyDescent="0.3">
      <c r="A91" s="240" t="s">
        <v>1096</v>
      </c>
      <c r="B91" s="240">
        <v>35</v>
      </c>
      <c r="C91" s="123" t="s">
        <v>1155</v>
      </c>
      <c r="D91" s="245" t="s">
        <v>1155</v>
      </c>
      <c r="E91" s="246" t="str">
        <f t="shared" si="2"/>
        <v/>
      </c>
    </row>
    <row r="92" spans="1:5" s="123" customFormat="1" x14ac:dyDescent="0.3">
      <c r="A92" s="240" t="s">
        <v>1096</v>
      </c>
      <c r="B92" s="240">
        <v>36</v>
      </c>
      <c r="C92" s="123" t="s">
        <v>931</v>
      </c>
      <c r="D92" s="245" t="s">
        <v>931</v>
      </c>
      <c r="E92" s="246" t="str">
        <f t="shared" si="2"/>
        <v/>
      </c>
    </row>
    <row r="93" spans="1:5" s="123" customFormat="1" x14ac:dyDescent="0.3">
      <c r="A93" s="240" t="s">
        <v>1096</v>
      </c>
      <c r="B93" s="240">
        <v>37</v>
      </c>
      <c r="C93" s="123" t="s">
        <v>930</v>
      </c>
      <c r="D93" s="245" t="s">
        <v>930</v>
      </c>
      <c r="E93" s="246" t="str">
        <f t="shared" si="2"/>
        <v/>
      </c>
    </row>
    <row r="94" spans="1:5" s="123" customFormat="1" x14ac:dyDescent="0.3">
      <c r="A94" s="240" t="s">
        <v>1096</v>
      </c>
      <c r="B94" s="240">
        <v>38</v>
      </c>
      <c r="C94" s="123" t="s">
        <v>1119</v>
      </c>
      <c r="D94" s="245" t="s">
        <v>1119</v>
      </c>
      <c r="E94" s="246" t="str">
        <f t="shared" si="2"/>
        <v/>
      </c>
    </row>
    <row r="95" spans="1:5" s="123" customFormat="1" x14ac:dyDescent="0.3">
      <c r="A95" s="240" t="s">
        <v>1096</v>
      </c>
      <c r="B95" s="240">
        <v>39</v>
      </c>
      <c r="C95" s="123" t="s">
        <v>1120</v>
      </c>
      <c r="D95" s="245" t="s">
        <v>1120</v>
      </c>
      <c r="E95" s="246" t="str">
        <f t="shared" si="2"/>
        <v/>
      </c>
    </row>
    <row r="96" spans="1:5" s="123" customFormat="1" x14ac:dyDescent="0.3">
      <c r="A96" s="240" t="s">
        <v>1096</v>
      </c>
      <c r="B96" s="240">
        <v>40</v>
      </c>
      <c r="C96" s="123" t="s">
        <v>1121</v>
      </c>
      <c r="D96" s="245" t="s">
        <v>1121</v>
      </c>
      <c r="E96" s="246" t="str">
        <f t="shared" si="2"/>
        <v/>
      </c>
    </row>
    <row r="97" spans="1:5" s="123" customFormat="1" x14ac:dyDescent="0.3">
      <c r="A97" s="240" t="s">
        <v>1096</v>
      </c>
      <c r="B97" s="240">
        <v>41</v>
      </c>
      <c r="C97" s="123" t="s">
        <v>1122</v>
      </c>
      <c r="D97" s="245" t="s">
        <v>1122</v>
      </c>
      <c r="E97" s="246" t="str">
        <f t="shared" si="2"/>
        <v/>
      </c>
    </row>
    <row r="98" spans="1:5" s="123" customFormat="1" x14ac:dyDescent="0.3">
      <c r="A98" s="240" t="s">
        <v>1096</v>
      </c>
      <c r="B98" s="240">
        <v>42</v>
      </c>
      <c r="C98" s="123" t="s">
        <v>1123</v>
      </c>
      <c r="D98" s="245" t="s">
        <v>1123</v>
      </c>
      <c r="E98" s="246" t="str">
        <f t="shared" si="2"/>
        <v/>
      </c>
    </row>
    <row r="99" spans="1:5" s="123" customFormat="1" x14ac:dyDescent="0.3">
      <c r="A99" s="240" t="s">
        <v>1096</v>
      </c>
      <c r="B99" s="240">
        <v>43</v>
      </c>
      <c r="C99" s="123" t="s">
        <v>787</v>
      </c>
      <c r="D99" s="245" t="s">
        <v>787</v>
      </c>
      <c r="E99" s="246" t="str">
        <f t="shared" si="2"/>
        <v/>
      </c>
    </row>
    <row r="100" spans="1:5" s="123" customFormat="1" x14ac:dyDescent="0.3">
      <c r="A100" s="240" t="s">
        <v>1096</v>
      </c>
      <c r="B100" s="240">
        <v>44</v>
      </c>
      <c r="C100" s="123" t="s">
        <v>786</v>
      </c>
      <c r="D100" s="245" t="s">
        <v>786</v>
      </c>
      <c r="E100" s="246" t="str">
        <f t="shared" si="2"/>
        <v/>
      </c>
    </row>
    <row r="101" spans="1:5" s="123" customFormat="1" x14ac:dyDescent="0.3">
      <c r="A101" s="240" t="s">
        <v>1096</v>
      </c>
      <c r="B101" s="240">
        <v>45</v>
      </c>
      <c r="C101" s="123" t="s">
        <v>1156</v>
      </c>
      <c r="D101" s="245" t="s">
        <v>1156</v>
      </c>
      <c r="E101" s="246" t="str">
        <f t="shared" si="2"/>
        <v/>
      </c>
    </row>
    <row r="102" spans="1:5" s="123" customFormat="1" x14ac:dyDescent="0.3">
      <c r="A102" s="240" t="s">
        <v>1096</v>
      </c>
      <c r="B102" s="240">
        <v>46</v>
      </c>
      <c r="C102" s="123" t="s">
        <v>1157</v>
      </c>
      <c r="D102" s="245" t="s">
        <v>1157</v>
      </c>
      <c r="E102" s="246" t="str">
        <f t="shared" si="2"/>
        <v/>
      </c>
    </row>
    <row r="103" spans="1:5" s="123" customFormat="1" x14ac:dyDescent="0.3">
      <c r="A103" s="240" t="s">
        <v>1096</v>
      </c>
      <c r="B103" s="240">
        <v>47</v>
      </c>
      <c r="C103" s="123" t="s">
        <v>1158</v>
      </c>
      <c r="D103" s="245" t="s">
        <v>1158</v>
      </c>
      <c r="E103" s="246" t="str">
        <f t="shared" si="2"/>
        <v/>
      </c>
    </row>
    <row r="104" spans="1:5" s="123" customFormat="1" x14ac:dyDescent="0.3">
      <c r="A104" s="240" t="s">
        <v>1096</v>
      </c>
      <c r="B104" s="240">
        <v>48</v>
      </c>
      <c r="C104" s="123" t="s">
        <v>1124</v>
      </c>
      <c r="D104" s="123" t="s">
        <v>1166</v>
      </c>
      <c r="E104" s="246" t="str">
        <f t="shared" si="2"/>
        <v>120 % (2)</v>
      </c>
    </row>
    <row r="105" spans="1:5" s="123" customFormat="1" x14ac:dyDescent="0.3">
      <c r="A105" s="240" t="s">
        <v>1096</v>
      </c>
      <c r="B105" s="240">
        <v>49</v>
      </c>
      <c r="C105" s="123" t="s">
        <v>1125</v>
      </c>
      <c r="D105" s="123" t="s">
        <v>1167</v>
      </c>
      <c r="E105" s="246" t="str">
        <f t="shared" si="2"/>
        <v>125 % (3)</v>
      </c>
    </row>
    <row r="106" spans="1:5" s="123" customFormat="1" x14ac:dyDescent="0.3">
      <c r="A106" s="240" t="s">
        <v>1096</v>
      </c>
      <c r="B106" s="240">
        <v>50</v>
      </c>
      <c r="C106" s="123" t="s">
        <v>891</v>
      </c>
      <c r="D106" s="245" t="s">
        <v>891</v>
      </c>
      <c r="E106" s="246" t="str">
        <f t="shared" si="2"/>
        <v/>
      </c>
    </row>
    <row r="107" spans="1:5" s="123" customFormat="1" x14ac:dyDescent="0.3">
      <c r="A107" s="240" t="s">
        <v>1096</v>
      </c>
      <c r="B107" s="240">
        <v>51</v>
      </c>
      <c r="C107" s="123" t="s">
        <v>1159</v>
      </c>
      <c r="D107" s="245" t="s">
        <v>1159</v>
      </c>
      <c r="E107" s="246" t="str">
        <f t="shared" si="2"/>
        <v/>
      </c>
    </row>
    <row r="108" spans="1:5" s="123" customFormat="1" x14ac:dyDescent="0.3">
      <c r="A108" s="240" t="s">
        <v>1096</v>
      </c>
      <c r="B108" s="240">
        <v>52</v>
      </c>
      <c r="C108" s="123" t="s">
        <v>887</v>
      </c>
      <c r="D108" s="245" t="s">
        <v>887</v>
      </c>
      <c r="E108" s="246" t="str">
        <f t="shared" si="2"/>
        <v/>
      </c>
    </row>
    <row r="109" spans="1:5" s="123" customFormat="1" x14ac:dyDescent="0.3">
      <c r="A109" s="240" t="s">
        <v>1096</v>
      </c>
      <c r="B109" s="240">
        <v>53</v>
      </c>
      <c r="C109" s="123" t="s">
        <v>1123</v>
      </c>
      <c r="D109" s="245" t="s">
        <v>1123</v>
      </c>
      <c r="E109" s="246" t="str">
        <f t="shared" si="2"/>
        <v/>
      </c>
    </row>
    <row r="110" spans="1:5" s="123" customFormat="1" x14ac:dyDescent="0.3">
      <c r="A110" s="240" t="s">
        <v>1096</v>
      </c>
      <c r="B110" s="240">
        <v>54</v>
      </c>
      <c r="C110" s="123" t="s">
        <v>883</v>
      </c>
      <c r="D110" s="245" t="s">
        <v>883</v>
      </c>
      <c r="E110" s="246" t="str">
        <f t="shared" si="2"/>
        <v/>
      </c>
    </row>
    <row r="111" spans="1:5" s="123" customFormat="1" x14ac:dyDescent="0.3">
      <c r="A111" s="240" t="s">
        <v>1096</v>
      </c>
      <c r="B111" s="240">
        <v>55</v>
      </c>
      <c r="C111" s="123" t="s">
        <v>1160</v>
      </c>
      <c r="D111" s="245" t="s">
        <v>1160</v>
      </c>
      <c r="E111" s="246" t="str">
        <f t="shared" si="2"/>
        <v/>
      </c>
    </row>
    <row r="112" spans="1:5" s="123" customFormat="1" x14ac:dyDescent="0.3">
      <c r="A112" s="240" t="s">
        <v>1096</v>
      </c>
      <c r="B112" s="240">
        <v>56</v>
      </c>
      <c r="C112" s="123" t="s">
        <v>1112</v>
      </c>
      <c r="D112" s="123" t="s">
        <v>1165</v>
      </c>
      <c r="E112" s="246" t="str">
        <f t="shared" si="2"/>
        <v/>
      </c>
    </row>
    <row r="113" spans="1:5" s="123" customFormat="1" x14ac:dyDescent="0.3">
      <c r="A113" s="240" t="s">
        <v>1096</v>
      </c>
      <c r="B113" s="240">
        <v>57</v>
      </c>
      <c r="C113" s="123" t="s">
        <v>1157</v>
      </c>
      <c r="D113" s="245" t="s">
        <v>1157</v>
      </c>
      <c r="E113" s="246" t="str">
        <f t="shared" si="2"/>
        <v/>
      </c>
    </row>
    <row r="114" spans="1:5" s="123" customFormat="1" x14ac:dyDescent="0.3">
      <c r="A114" s="240" t="s">
        <v>1096</v>
      </c>
      <c r="B114" s="240">
        <v>58</v>
      </c>
      <c r="C114" s="123" t="s">
        <v>1158</v>
      </c>
      <c r="D114" s="245" t="s">
        <v>1158</v>
      </c>
      <c r="E114" s="246" t="str">
        <f t="shared" si="2"/>
        <v/>
      </c>
    </row>
    <row r="115" spans="1:5" s="123" customFormat="1" x14ac:dyDescent="0.3">
      <c r="A115" s="240" t="s">
        <v>1096</v>
      </c>
      <c r="B115" s="240">
        <v>59</v>
      </c>
      <c r="C115" s="123" t="s">
        <v>1126</v>
      </c>
      <c r="D115" s="245" t="s">
        <v>1126</v>
      </c>
      <c r="E115" s="246" t="str">
        <f t="shared" si="2"/>
        <v/>
      </c>
    </row>
    <row r="116" spans="1:5" s="123" customFormat="1" x14ac:dyDescent="0.3">
      <c r="A116" s="240" t="s">
        <v>1096</v>
      </c>
      <c r="B116" s="240">
        <v>60</v>
      </c>
      <c r="C116" s="123" t="s">
        <v>1127</v>
      </c>
      <c r="D116" s="245" t="s">
        <v>1129</v>
      </c>
      <c r="E116" s="246" t="str">
        <f t="shared" si="2"/>
        <v/>
      </c>
    </row>
    <row r="117" spans="1:5" s="123" customFormat="1" x14ac:dyDescent="0.3">
      <c r="A117" s="240" t="s">
        <v>1096</v>
      </c>
      <c r="B117" s="240">
        <v>61</v>
      </c>
      <c r="C117" s="123" t="s">
        <v>1128</v>
      </c>
      <c r="D117" s="245" t="s">
        <v>1130</v>
      </c>
      <c r="E117" s="246" t="str">
        <f t="shared" si="2"/>
        <v/>
      </c>
    </row>
    <row r="118" spans="1:5" s="123" customFormat="1" x14ac:dyDescent="0.3">
      <c r="A118" s="240" t="s">
        <v>1096</v>
      </c>
      <c r="B118" s="240">
        <v>62</v>
      </c>
      <c r="C118" s="123" t="s">
        <v>1129</v>
      </c>
      <c r="D118" s="245" t="s">
        <v>1145</v>
      </c>
      <c r="E118" s="246" t="str">
        <f t="shared" si="2"/>
        <v/>
      </c>
    </row>
    <row r="119" spans="1:5" s="123" customFormat="1" x14ac:dyDescent="0.3">
      <c r="A119" s="240" t="s">
        <v>1096</v>
      </c>
      <c r="B119" s="240">
        <v>63</v>
      </c>
      <c r="C119" s="123" t="s">
        <v>1130</v>
      </c>
      <c r="D119" s="245" t="s">
        <v>1146</v>
      </c>
      <c r="E119" s="246" t="str">
        <f t="shared" si="2"/>
        <v/>
      </c>
    </row>
    <row r="120" spans="1:5" s="123" customFormat="1" x14ac:dyDescent="0.3">
      <c r="A120" s="240" t="s">
        <v>1096</v>
      </c>
      <c r="B120" s="240">
        <v>64</v>
      </c>
      <c r="C120" s="123" t="s">
        <v>1131</v>
      </c>
      <c r="D120" s="245" t="s">
        <v>1131</v>
      </c>
      <c r="E120" s="246" t="str">
        <f t="shared" si="2"/>
        <v/>
      </c>
    </row>
    <row r="121" spans="1:5" s="123" customFormat="1" x14ac:dyDescent="0.3">
      <c r="A121" s="240" t="s">
        <v>1096</v>
      </c>
      <c r="B121" s="240">
        <v>65</v>
      </c>
      <c r="C121" s="123" t="s">
        <v>1132</v>
      </c>
      <c r="D121" s="245" t="s">
        <v>1132</v>
      </c>
      <c r="E121" s="246" t="str">
        <f t="shared" si="2"/>
        <v/>
      </c>
    </row>
    <row r="122" spans="1:5" s="123" customFormat="1" x14ac:dyDescent="0.3">
      <c r="A122" s="240" t="s">
        <v>1096</v>
      </c>
      <c r="B122" s="240">
        <v>66</v>
      </c>
      <c r="C122" s="123" t="s">
        <v>1133</v>
      </c>
      <c r="D122" s="245" t="s">
        <v>1133</v>
      </c>
      <c r="E122" s="246" t="str">
        <f t="shared" si="2"/>
        <v/>
      </c>
    </row>
    <row r="123" spans="1:5" s="123" customFormat="1" x14ac:dyDescent="0.3">
      <c r="A123" s="240" t="s">
        <v>1096</v>
      </c>
      <c r="B123" s="240">
        <v>67</v>
      </c>
      <c r="C123" s="123" t="s">
        <v>1134</v>
      </c>
      <c r="D123" s="245" t="s">
        <v>1134</v>
      </c>
      <c r="E123" s="246" t="str">
        <f t="shared" ref="E123:E131" si="3">IF(LEN($C123)-LEN(D123)&lt;0,TEXT(LEN(D123)/LEN($C123),"0 %")&amp;" ("&amp;LEN(D123)-LEN($C123)&amp;")","")</f>
        <v/>
      </c>
    </row>
    <row r="124" spans="1:5" s="123" customFormat="1" x14ac:dyDescent="0.3">
      <c r="A124" s="240" t="s">
        <v>1096</v>
      </c>
      <c r="B124" s="240">
        <v>68</v>
      </c>
      <c r="C124" s="123" t="s">
        <v>1135</v>
      </c>
      <c r="D124" s="245" t="s">
        <v>1135</v>
      </c>
      <c r="E124" s="246" t="str">
        <f t="shared" si="3"/>
        <v/>
      </c>
    </row>
    <row r="125" spans="1:5" s="123" customFormat="1" x14ac:dyDescent="0.3">
      <c r="A125" s="240" t="s">
        <v>1096</v>
      </c>
      <c r="B125" s="240">
        <v>69</v>
      </c>
      <c r="C125" s="123" t="s">
        <v>1136</v>
      </c>
      <c r="D125" s="245" t="s">
        <v>1136</v>
      </c>
      <c r="E125" s="246" t="str">
        <f t="shared" si="3"/>
        <v/>
      </c>
    </row>
    <row r="126" spans="1:5" s="123" customFormat="1" x14ac:dyDescent="0.3">
      <c r="A126" s="240" t="s">
        <v>1096</v>
      </c>
      <c r="B126" s="240">
        <v>70</v>
      </c>
      <c r="C126" s="123" t="s">
        <v>608</v>
      </c>
      <c r="D126" s="245" t="s">
        <v>608</v>
      </c>
      <c r="E126" s="246" t="str">
        <f t="shared" si="3"/>
        <v/>
      </c>
    </row>
    <row r="127" spans="1:5" s="123" customFormat="1" x14ac:dyDescent="0.3">
      <c r="A127" s="240" t="s">
        <v>1096</v>
      </c>
      <c r="B127" s="240">
        <v>71</v>
      </c>
      <c r="C127" s="123" t="s">
        <v>1137</v>
      </c>
      <c r="D127" s="245" t="s">
        <v>1137</v>
      </c>
      <c r="E127" s="246" t="str">
        <f t="shared" si="3"/>
        <v/>
      </c>
    </row>
    <row r="128" spans="1:5" s="123" customFormat="1" x14ac:dyDescent="0.3">
      <c r="A128" s="240" t="s">
        <v>1096</v>
      </c>
      <c r="B128" s="240">
        <v>72</v>
      </c>
      <c r="C128" s="123" t="s">
        <v>1161</v>
      </c>
      <c r="D128" s="245" t="s">
        <v>1161</v>
      </c>
      <c r="E128" s="246" t="str">
        <f t="shared" si="3"/>
        <v/>
      </c>
    </row>
    <row r="129" spans="1:5" s="123" customFormat="1" x14ac:dyDescent="0.3">
      <c r="A129" s="240" t="s">
        <v>1096</v>
      </c>
      <c r="B129" s="240">
        <v>73</v>
      </c>
      <c r="C129" s="123" t="s">
        <v>1162</v>
      </c>
      <c r="D129" s="245" t="s">
        <v>1162</v>
      </c>
      <c r="E129" s="246" t="str">
        <f t="shared" si="3"/>
        <v/>
      </c>
    </row>
    <row r="130" spans="1:5" s="123" customFormat="1" x14ac:dyDescent="0.3">
      <c r="A130" s="240" t="s">
        <v>1096</v>
      </c>
      <c r="B130" s="240">
        <v>74</v>
      </c>
      <c r="C130" s="123" t="s">
        <v>1163</v>
      </c>
      <c r="D130" s="245" t="s">
        <v>1163</v>
      </c>
      <c r="E130" s="246" t="str">
        <f t="shared" si="3"/>
        <v/>
      </c>
    </row>
    <row r="131" spans="1:5" s="123" customFormat="1" x14ac:dyDescent="0.3">
      <c r="A131" s="240" t="s">
        <v>1096</v>
      </c>
      <c r="B131" s="240">
        <v>75</v>
      </c>
      <c r="C131" s="123" t="s">
        <v>1164</v>
      </c>
      <c r="D131" s="245" t="s">
        <v>1164</v>
      </c>
      <c r="E131" s="246" t="str">
        <f t="shared" si="3"/>
        <v/>
      </c>
    </row>
    <row r="132" spans="1:5" s="123" customFormat="1" x14ac:dyDescent="0.3">
      <c r="A132" s="240"/>
      <c r="B132" s="240"/>
      <c r="E132" s="246" t="str">
        <f>IF(LEN($C132)-LEN(D132)&lt;0,TEXT(LEN(D132)/LEN($C132),"0 %")&amp;" ("&amp;LEN(D132)-LEN($C132)&amp;")","")</f>
        <v/>
      </c>
    </row>
    <row r="133" spans="1:5" ht="15.6" x14ac:dyDescent="0.3">
      <c r="A133" s="118" t="str">
        <f>"! --- "&amp;INDEX(MLtextDivisions,3)</f>
        <v>! --- Parameter Script - VALUES</v>
      </c>
      <c r="E133" s="246" t="str">
        <f t="shared" ref="E133:E139" si="4">IF(LEN($C133)-LEN(D133)&lt;0,TEXT(LEN(D133)/LEN($C133),"0 %")&amp;" ("&amp;LEN(D133)-LEN($C133)&amp;")","")</f>
        <v/>
      </c>
    </row>
    <row r="134" spans="1:5" s="123" customFormat="1" x14ac:dyDescent="0.3">
      <c r="A134" s="122"/>
      <c r="B134" s="122"/>
      <c r="E134" s="246" t="str">
        <f t="shared" si="4"/>
        <v/>
      </c>
    </row>
    <row r="135" spans="1:5" ht="15.6" x14ac:dyDescent="0.3">
      <c r="A135" s="118" t="str">
        <f>"! --- "&amp;INDEX(MLtextDivisions,4)</f>
        <v>! --- Common Text</v>
      </c>
      <c r="E135" s="246" t="str">
        <f t="shared" si="4"/>
        <v/>
      </c>
    </row>
    <row r="136" spans="1:5" s="217" customFormat="1" x14ac:dyDescent="0.3">
      <c r="A136" s="233" t="s">
        <v>1038</v>
      </c>
      <c r="B136" s="234">
        <v>1</v>
      </c>
      <c r="C136" s="230" t="s">
        <v>845</v>
      </c>
      <c r="D136" s="230" t="s">
        <v>1039</v>
      </c>
      <c r="E136" s="246" t="str">
        <f t="shared" si="4"/>
        <v/>
      </c>
    </row>
    <row r="137" spans="1:5" s="217" customFormat="1" x14ac:dyDescent="0.3">
      <c r="A137" s="233" t="s">
        <v>1038</v>
      </c>
      <c r="B137" s="234">
        <v>2</v>
      </c>
      <c r="C137" s="230" t="s">
        <v>847</v>
      </c>
      <c r="D137" s="230" t="s">
        <v>847</v>
      </c>
      <c r="E137" s="246" t="str">
        <f t="shared" si="4"/>
        <v/>
      </c>
    </row>
    <row r="138" spans="1:5" s="217" customFormat="1" x14ac:dyDescent="0.3">
      <c r="A138" s="233" t="s">
        <v>1038</v>
      </c>
      <c r="B138" s="234">
        <v>3</v>
      </c>
      <c r="C138" s="230" t="s">
        <v>846</v>
      </c>
      <c r="D138" s="230" t="s">
        <v>1040</v>
      </c>
      <c r="E138" s="246" t="str">
        <f t="shared" si="4"/>
        <v/>
      </c>
    </row>
    <row r="139" spans="1:5" x14ac:dyDescent="0.3">
      <c r="A139" s="233" t="s">
        <v>1038</v>
      </c>
      <c r="B139" s="234">
        <v>4</v>
      </c>
      <c r="C139" s="230" t="s">
        <v>973</v>
      </c>
      <c r="D139" s="230" t="s">
        <v>1041</v>
      </c>
      <c r="E139" s="246" t="str">
        <f t="shared" si="4"/>
        <v/>
      </c>
    </row>
    <row r="140" spans="1:5" s="123" customFormat="1" ht="15.6" x14ac:dyDescent="0.3">
      <c r="A140" s="121"/>
      <c r="B140" s="122"/>
    </row>
    <row r="141" spans="1:5" ht="15.6" x14ac:dyDescent="0.3">
      <c r="A141" s="118" t="str">
        <f>"! --- END"</f>
        <v>! --- END</v>
      </c>
    </row>
  </sheetData>
  <sortState ref="A57:E132">
    <sortCondition ref="A5"/>
    <sortCondition ref="B5"/>
  </sortState>
  <pageMargins left="0.7" right="0.7" top="0.78740157499999996" bottom="0.78740157499999996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topLeftCell="P1" zoomScaleNormal="100" workbookViewId="0">
      <selection activeCell="W7" sqref="W7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53" t="str">
        <f>"-&gt; PROPERTY-CONTEXT"</f>
        <v>-&gt; PROPERTY-CONTEXT</v>
      </c>
      <c r="F1" s="253"/>
      <c r="G1" s="253"/>
      <c r="H1" s="10" t="s">
        <v>12</v>
      </c>
      <c r="I1" s="10" t="s">
        <v>63</v>
      </c>
      <c r="J1" s="10" t="s">
        <v>82</v>
      </c>
      <c r="K1" s="10" t="s">
        <v>105</v>
      </c>
      <c r="L1" s="10" t="s">
        <v>110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54" t="s">
        <v>124</v>
      </c>
      <c r="T1" s="254"/>
      <c r="U1" s="10" t="s">
        <v>138</v>
      </c>
      <c r="V1" s="10" t="s">
        <v>143</v>
      </c>
      <c r="W1" s="10" t="s">
        <v>174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83</v>
      </c>
      <c r="K2" s="14" t="s">
        <v>102</v>
      </c>
      <c r="L2" s="14" t="s">
        <v>111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97</v>
      </c>
      <c r="T2" s="3" t="s">
        <v>18</v>
      </c>
      <c r="U2" s="3" t="s">
        <v>135</v>
      </c>
      <c r="V2" s="3" t="s">
        <v>189</v>
      </c>
      <c r="W2" s="3" t="s">
        <v>172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84</v>
      </c>
      <c r="K3" s="14" t="s">
        <v>107</v>
      </c>
      <c r="L3" s="14" t="s">
        <v>101</v>
      </c>
      <c r="M3" s="14" t="s">
        <v>90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98</v>
      </c>
      <c r="T3" s="3" t="s">
        <v>44</v>
      </c>
      <c r="U3" s="3" t="s">
        <v>136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103</v>
      </c>
      <c r="L4" s="14" t="s">
        <v>112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116</v>
      </c>
      <c r="T4" s="3" t="s">
        <v>47</v>
      </c>
      <c r="U4" s="3" t="s">
        <v>137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197</v>
      </c>
      <c r="L5" s="14" t="s">
        <v>113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99</v>
      </c>
      <c r="T5" s="3" t="s">
        <v>99</v>
      </c>
      <c r="W5" s="3" t="s">
        <v>178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181</v>
      </c>
      <c r="L6" s="14" t="s">
        <v>114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117</v>
      </c>
      <c r="T6" s="3" t="s">
        <v>36</v>
      </c>
      <c r="W6" s="220" t="s">
        <v>1149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128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129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130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101</v>
      </c>
      <c r="T9" s="3" t="s">
        <v>101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-92424BA22982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100</v>
      </c>
      <c r="T10" s="3" t="s">
        <v>111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94</v>
      </c>
      <c r="T11" s="3" t="s">
        <v>112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104</v>
      </c>
      <c r="T12" s="3" t="s">
        <v>113</v>
      </c>
    </row>
    <row r="13" spans="1:24" ht="17.25" customHeight="1" x14ac:dyDescent="0.25">
      <c r="A13" s="14"/>
      <c r="B13" s="14" t="s">
        <v>182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115</v>
      </c>
      <c r="T13" s="3" t="str">
        <f>""</f>
        <v/>
      </c>
    </row>
    <row r="14" spans="1:24" ht="17.25" customHeight="1" x14ac:dyDescent="0.25">
      <c r="A14" s="14"/>
      <c r="B14" s="14" t="s">
        <v>183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120</v>
      </c>
      <c r="T14" s="3" t="s">
        <v>125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118</v>
      </c>
      <c r="T15" s="3" t="s">
        <v>126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119</v>
      </c>
      <c r="T16" s="3" t="s">
        <v>127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122</v>
      </c>
      <c r="T17" s="3" t="s">
        <v>123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B6" sqref="B6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6" bestFit="1" customWidth="1"/>
    <col min="2" max="2" width="20.44140625" style="74" customWidth="1"/>
    <col min="3" max="4" width="4.5546875" style="75" customWidth="1"/>
    <col min="5" max="5" width="4.5546875" style="76" customWidth="1"/>
    <col min="6" max="6" width="24.44140625" style="73" customWidth="1"/>
    <col min="7" max="7" width="10.5546875" style="83" customWidth="1"/>
    <col min="8" max="16384" width="11.44140625" style="49"/>
  </cols>
  <sheetData>
    <row r="1" spans="1:7" ht="43.5" customHeight="1" thickBot="1" x14ac:dyDescent="0.3">
      <c r="A1" s="255" t="str">
        <f>'RAW IMPORT'!A1</f>
        <v>Produkt</v>
      </c>
      <c r="B1" s="255">
        <f>'RAW IMPORT'!B1</f>
        <v>0</v>
      </c>
      <c r="C1" s="105" t="str">
        <f>'RAW IMPORT'!C1</f>
        <v>Breite</v>
      </c>
      <c r="D1" s="105" t="str">
        <f>'RAW IMPORT'!D1</f>
        <v>Tiefe</v>
      </c>
      <c r="E1" s="105">
        <f>'RAW IMPORT'!E1</f>
        <v>0</v>
      </c>
      <c r="F1" s="84" t="s">
        <v>141</v>
      </c>
      <c r="G1" s="84"/>
    </row>
    <row r="2" spans="1:7" ht="55.8" outlineLevel="1" thickTop="1" x14ac:dyDescent="0.25">
      <c r="A2" s="93" t="str">
        <f>A12</f>
        <v>Typ</v>
      </c>
      <c r="B2" s="94" t="str">
        <f>B12</f>
        <v>Name</v>
      </c>
      <c r="C2" s="143" t="str">
        <f>C1</f>
        <v>Breite</v>
      </c>
      <c r="D2" s="143" t="str">
        <f>D1</f>
        <v>Tiefe</v>
      </c>
      <c r="E2" s="144">
        <f>E1</f>
        <v>0</v>
      </c>
      <c r="F2" s="145" t="s">
        <v>150</v>
      </c>
      <c r="G2" s="106" t="s">
        <v>180</v>
      </c>
    </row>
    <row r="3" spans="1:7" s="79" customFormat="1" ht="14.4" outlineLevel="1" x14ac:dyDescent="0.25">
      <c r="A3" s="89">
        <v>1</v>
      </c>
      <c r="B3" s="78">
        <f>A3+1</f>
        <v>2</v>
      </c>
      <c r="C3" s="77"/>
      <c r="D3" s="128"/>
      <c r="E3" s="90"/>
      <c r="F3" s="108" t="s">
        <v>186</v>
      </c>
      <c r="G3" s="107">
        <v>0</v>
      </c>
    </row>
    <row r="4" spans="1:7" s="79" customFormat="1" ht="14.4" outlineLevel="1" x14ac:dyDescent="0.25">
      <c r="A4" s="89"/>
      <c r="B4" s="77"/>
      <c r="C4" s="78">
        <v>1</v>
      </c>
      <c r="D4" s="78">
        <f>C4+1</f>
        <v>2</v>
      </c>
      <c r="E4" s="90"/>
      <c r="F4" s="108" t="s">
        <v>191</v>
      </c>
      <c r="G4" s="107">
        <v>0</v>
      </c>
    </row>
    <row r="5" spans="1:7" s="79" customFormat="1" ht="14.4" outlineLevel="1" x14ac:dyDescent="0.25">
      <c r="A5" s="89"/>
      <c r="B5" s="77"/>
      <c r="C5" s="77"/>
      <c r="D5" s="128"/>
      <c r="E5" s="90"/>
      <c r="F5" s="108"/>
      <c r="G5" s="107">
        <v>0</v>
      </c>
    </row>
    <row r="6" spans="1:7" s="79" customFormat="1" ht="14.4" outlineLevel="1" x14ac:dyDescent="0.25">
      <c r="A6" s="89"/>
      <c r="B6" s="77"/>
      <c r="C6" s="77"/>
      <c r="D6" s="128"/>
      <c r="E6" s="90"/>
      <c r="F6" s="108"/>
      <c r="G6" s="107">
        <v>0</v>
      </c>
    </row>
    <row r="7" spans="1:7" s="79" customFormat="1" ht="14.4" outlineLevel="1" x14ac:dyDescent="0.25">
      <c r="A7" s="89"/>
      <c r="B7" s="77"/>
      <c r="C7" s="77"/>
      <c r="D7" s="128"/>
      <c r="E7" s="90"/>
      <c r="F7" s="108"/>
      <c r="G7" s="107">
        <v>0</v>
      </c>
    </row>
    <row r="8" spans="1:7" s="79" customFormat="1" ht="14.4" outlineLevel="1" x14ac:dyDescent="0.25">
      <c r="A8" s="89"/>
      <c r="B8" s="77"/>
      <c r="C8" s="77"/>
      <c r="D8" s="128"/>
      <c r="E8" s="90"/>
      <c r="F8" s="108"/>
      <c r="G8" s="107">
        <v>0</v>
      </c>
    </row>
    <row r="9" spans="1:7" s="79" customFormat="1" ht="14.4" outlineLevel="1" x14ac:dyDescent="0.25">
      <c r="A9" s="89"/>
      <c r="B9" s="77"/>
      <c r="C9" s="77"/>
      <c r="D9" s="128"/>
      <c r="E9" s="90"/>
      <c r="F9" s="108"/>
      <c r="G9" s="107">
        <v>0</v>
      </c>
    </row>
    <row r="10" spans="1:7" s="79" customFormat="1" ht="14.4" outlineLevel="1" x14ac:dyDescent="0.25">
      <c r="A10" s="89"/>
      <c r="B10" s="77"/>
      <c r="C10" s="77"/>
      <c r="D10" s="128"/>
      <c r="E10" s="90"/>
      <c r="F10" s="108"/>
      <c r="G10" s="107">
        <v>0</v>
      </c>
    </row>
    <row r="11" spans="1:7" s="79" customFormat="1" ht="15" outlineLevel="1" thickBot="1" x14ac:dyDescent="0.3">
      <c r="A11" s="89"/>
      <c r="B11" s="77"/>
      <c r="C11" s="77"/>
      <c r="D11" s="128"/>
      <c r="E11" s="90"/>
      <c r="F11" s="108"/>
      <c r="G11" s="107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2"/>
      <c r="G12" s="49"/>
    </row>
    <row r="13" spans="1:7" s="73" customFormat="1" ht="15" customHeight="1" thickTop="1" x14ac:dyDescent="0.25">
      <c r="A13" s="69" t="str">
        <f>'RAW IMPORT'!A3</f>
        <v>UZ</v>
      </c>
      <c r="B13" s="70" t="str">
        <f>'RAW IMPORT'!B3</f>
        <v>Standard</v>
      </c>
      <c r="C13" s="72">
        <f>'RAW IMPORT'!C3</f>
        <v>1.4999999999999999E-2</v>
      </c>
      <c r="D13" s="82">
        <f>'RAW IMPORT'!D3</f>
        <v>-1</v>
      </c>
      <c r="E13" s="82">
        <f>'RAW IMPORT'!E3</f>
        <v>0</v>
      </c>
      <c r="F13" s="104"/>
      <c r="G13" s="68"/>
    </row>
    <row r="14" spans="1:7" ht="15" customHeight="1" x14ac:dyDescent="0.25">
      <c r="A14" s="69">
        <f>'RAW IMPORT'!A4</f>
        <v>0</v>
      </c>
      <c r="B14" s="70">
        <f>'RAW IMPORT'!B4</f>
        <v>0</v>
      </c>
      <c r="C14" s="72">
        <f>'RAW IMPORT'!C4</f>
        <v>0</v>
      </c>
      <c r="D14" s="82">
        <f>'RAW IMPORT'!D4</f>
        <v>0</v>
      </c>
      <c r="E14" s="82">
        <f>'RAW IMPORT'!E4</f>
        <v>0</v>
      </c>
      <c r="F14" s="104"/>
      <c r="G14" s="68"/>
    </row>
    <row r="15" spans="1:7" ht="15" customHeight="1" x14ac:dyDescent="0.25">
      <c r="A15" s="69">
        <f>'RAW IMPORT'!A5</f>
        <v>0</v>
      </c>
      <c r="B15" s="70">
        <f>'RAW IMPORT'!B5</f>
        <v>0</v>
      </c>
      <c r="C15" s="72">
        <f>'RAW IMPORT'!C5</f>
        <v>0</v>
      </c>
      <c r="D15" s="82">
        <f>'RAW IMPORT'!D5</f>
        <v>0</v>
      </c>
      <c r="E15" s="82">
        <f>'RAW IMPORT'!E5</f>
        <v>0</v>
      </c>
      <c r="F15" s="104"/>
      <c r="G15" s="68"/>
    </row>
    <row r="16" spans="1:7" ht="15" customHeight="1" x14ac:dyDescent="0.25">
      <c r="A16" s="69">
        <f>'RAW IMPORT'!A6</f>
        <v>0</v>
      </c>
      <c r="B16" s="70">
        <f>'RAW IMPORT'!B6</f>
        <v>0</v>
      </c>
      <c r="C16" s="72">
        <f>'RAW IMPORT'!C6</f>
        <v>0</v>
      </c>
      <c r="D16" s="82">
        <f>'RAW IMPORT'!D6</f>
        <v>0</v>
      </c>
      <c r="E16" s="82">
        <f>'RAW IMPORT'!E6</f>
        <v>0</v>
      </c>
      <c r="F16" s="104"/>
      <c r="G16" s="68"/>
    </row>
    <row r="17" spans="1:7" ht="15" customHeight="1" x14ac:dyDescent="0.25">
      <c r="A17" s="69">
        <f>'RAW IMPORT'!A7</f>
        <v>0</v>
      </c>
      <c r="B17" s="70">
        <f>'RAW IMPORT'!B7</f>
        <v>0</v>
      </c>
      <c r="C17" s="72">
        <f>'RAW IMPORT'!C7</f>
        <v>0</v>
      </c>
      <c r="D17" s="82">
        <f>'RAW IMPORT'!D7</f>
        <v>0</v>
      </c>
      <c r="E17" s="82">
        <f>'RAW IMPORT'!E7</f>
        <v>0</v>
      </c>
      <c r="F17" s="104"/>
      <c r="G17" s="68"/>
    </row>
    <row r="18" spans="1:7" ht="15" customHeight="1" x14ac:dyDescent="0.25">
      <c r="A18" s="69">
        <f>'RAW IMPORT'!A8</f>
        <v>0</v>
      </c>
      <c r="B18" s="70">
        <f>'RAW IMPORT'!B8</f>
        <v>0</v>
      </c>
      <c r="C18" s="72">
        <f>'RAW IMPORT'!C8</f>
        <v>0</v>
      </c>
      <c r="D18" s="82">
        <f>'RAW IMPORT'!D8</f>
        <v>0</v>
      </c>
      <c r="E18" s="82">
        <f>'RAW IMPORT'!E8</f>
        <v>0</v>
      </c>
      <c r="F18" s="104"/>
      <c r="G18" s="68"/>
    </row>
    <row r="19" spans="1:7" ht="15" customHeight="1" x14ac:dyDescent="0.25">
      <c r="A19" s="69">
        <f>'RAW IMPORT'!A9</f>
        <v>0</v>
      </c>
      <c r="B19" s="70">
        <f>'RAW IMPORT'!B9</f>
        <v>0</v>
      </c>
      <c r="C19" s="72">
        <f>'RAW IMPORT'!C9</f>
        <v>0</v>
      </c>
      <c r="D19" s="82">
        <f>'RAW IMPORT'!D9</f>
        <v>0</v>
      </c>
      <c r="E19" s="82">
        <f>'RAW IMPORT'!E9</f>
        <v>0</v>
      </c>
      <c r="F19" s="104"/>
      <c r="G19" s="68"/>
    </row>
    <row r="20" spans="1:7" ht="15" customHeight="1" x14ac:dyDescent="0.25">
      <c r="A20" s="69">
        <f>'RAW IMPORT'!A10</f>
        <v>0</v>
      </c>
      <c r="B20" s="70">
        <f>'RAW IMPORT'!B10</f>
        <v>0</v>
      </c>
      <c r="C20" s="72">
        <f>'RAW IMPORT'!C10</f>
        <v>0</v>
      </c>
      <c r="D20" s="82">
        <f>'RAW IMPORT'!D10</f>
        <v>0</v>
      </c>
      <c r="E20" s="82">
        <f>'RAW IMPORT'!E10</f>
        <v>0</v>
      </c>
      <c r="F20" s="104"/>
      <c r="G20" s="68"/>
    </row>
    <row r="21" spans="1:7" ht="15" customHeight="1" x14ac:dyDescent="0.25">
      <c r="A21" s="69">
        <f>'RAW IMPORT'!A11</f>
        <v>0</v>
      </c>
      <c r="B21" s="70">
        <f>'RAW IMPORT'!B11</f>
        <v>0</v>
      </c>
      <c r="C21" s="72">
        <f>'RAW IMPORT'!C11</f>
        <v>0</v>
      </c>
      <c r="D21" s="82">
        <f>'RAW IMPORT'!D11</f>
        <v>0</v>
      </c>
      <c r="E21" s="82">
        <f>'RAW IMPORT'!E11</f>
        <v>0</v>
      </c>
      <c r="F21" s="104"/>
      <c r="G21" s="68"/>
    </row>
    <row r="22" spans="1:7" ht="15" customHeight="1" x14ac:dyDescent="0.25">
      <c r="A22" s="69">
        <f>'RAW IMPORT'!A12</f>
        <v>0</v>
      </c>
      <c r="B22" s="70">
        <f>'RAW IMPORT'!B12</f>
        <v>0</v>
      </c>
      <c r="C22" s="72">
        <f>'RAW IMPORT'!C12</f>
        <v>0</v>
      </c>
      <c r="D22" s="82">
        <f>'RAW IMPORT'!D12</f>
        <v>0</v>
      </c>
      <c r="E22" s="82">
        <f>'RAW IMPORT'!E12</f>
        <v>0</v>
      </c>
      <c r="F22" s="104"/>
      <c r="G22" s="68"/>
    </row>
    <row r="23" spans="1:7" ht="15" customHeight="1" x14ac:dyDescent="0.25">
      <c r="A23" s="69">
        <f>'RAW IMPORT'!A13</f>
        <v>0</v>
      </c>
      <c r="B23" s="70">
        <f>'RAW IMPORT'!B13</f>
        <v>0</v>
      </c>
      <c r="C23" s="72">
        <f>'RAW IMPORT'!C13</f>
        <v>0</v>
      </c>
      <c r="D23" s="82">
        <f>'RAW IMPORT'!D13</f>
        <v>0</v>
      </c>
      <c r="E23" s="82">
        <f>'RAW IMPORT'!E13</f>
        <v>0</v>
      </c>
      <c r="F23" s="104"/>
      <c r="G23" s="68"/>
    </row>
    <row r="24" spans="1:7" ht="15" customHeight="1" x14ac:dyDescent="0.25">
      <c r="A24" s="69">
        <f>'RAW IMPORT'!A14</f>
        <v>0</v>
      </c>
      <c r="B24" s="70">
        <f>'RAW IMPORT'!B14</f>
        <v>0</v>
      </c>
      <c r="C24" s="72">
        <f>'RAW IMPORT'!C14</f>
        <v>0</v>
      </c>
      <c r="D24" s="82">
        <f>'RAW IMPORT'!D14</f>
        <v>0</v>
      </c>
      <c r="E24" s="82">
        <f>'RAW IMPORT'!E14</f>
        <v>0</v>
      </c>
      <c r="F24" s="104"/>
      <c r="G24" s="68"/>
    </row>
    <row r="25" spans="1:7" ht="15" customHeight="1" x14ac:dyDescent="0.25">
      <c r="A25" s="69">
        <f>'RAW IMPORT'!A15</f>
        <v>0</v>
      </c>
      <c r="B25" s="70">
        <f>'RAW IMPORT'!B15</f>
        <v>0</v>
      </c>
      <c r="C25" s="72">
        <f>'RAW IMPORT'!C15</f>
        <v>0</v>
      </c>
      <c r="D25" s="82">
        <f>'RAW IMPORT'!D15</f>
        <v>0</v>
      </c>
      <c r="E25" s="82">
        <f>'RAW IMPORT'!E15</f>
        <v>0</v>
      </c>
      <c r="F25" s="104"/>
      <c r="G25" s="68"/>
    </row>
    <row r="26" spans="1:7" ht="15" customHeight="1" x14ac:dyDescent="0.25">
      <c r="A26" s="69">
        <f>'RAW IMPORT'!A16</f>
        <v>0</v>
      </c>
      <c r="B26" s="70">
        <f>'RAW IMPORT'!B16</f>
        <v>0</v>
      </c>
      <c r="C26" s="72">
        <f>'RAW IMPORT'!C16</f>
        <v>0</v>
      </c>
      <c r="D26" s="82">
        <f>'RAW IMPORT'!D16</f>
        <v>0</v>
      </c>
      <c r="E26" s="82">
        <f>'RAW IMPORT'!E16</f>
        <v>0</v>
      </c>
      <c r="F26" s="104"/>
      <c r="G26" s="68"/>
    </row>
    <row r="27" spans="1:7" ht="15" customHeight="1" x14ac:dyDescent="0.25">
      <c r="A27" s="69">
        <f>'RAW IMPORT'!A17</f>
        <v>0</v>
      </c>
      <c r="B27" s="70">
        <f>'RAW IMPORT'!B17</f>
        <v>0</v>
      </c>
      <c r="C27" s="72">
        <f>'RAW IMPORT'!C17</f>
        <v>0</v>
      </c>
      <c r="D27" s="82">
        <f>'RAW IMPORT'!D17</f>
        <v>0</v>
      </c>
      <c r="E27" s="82">
        <f>'RAW IMPORT'!E17</f>
        <v>0</v>
      </c>
      <c r="F27" s="104"/>
      <c r="G27" s="68"/>
    </row>
    <row r="28" spans="1:7" ht="15" customHeight="1" x14ac:dyDescent="0.25">
      <c r="A28" s="69">
        <f>'RAW IMPORT'!A18</f>
        <v>0</v>
      </c>
      <c r="B28" s="70">
        <f>'RAW IMPORT'!B18</f>
        <v>0</v>
      </c>
      <c r="C28" s="72">
        <f>'RAW IMPORT'!C18</f>
        <v>0</v>
      </c>
      <c r="D28" s="82">
        <f>'RAW IMPORT'!D18</f>
        <v>0</v>
      </c>
      <c r="E28" s="82">
        <f>'RAW IMPORT'!E18</f>
        <v>0</v>
      </c>
      <c r="F28" s="104"/>
      <c r="G28" s="68"/>
    </row>
    <row r="29" spans="1:7" ht="15" customHeight="1" x14ac:dyDescent="0.25">
      <c r="A29" s="69">
        <f>'RAW IMPORT'!A19</f>
        <v>0</v>
      </c>
      <c r="B29" s="70">
        <f>'RAW IMPORT'!B19</f>
        <v>0</v>
      </c>
      <c r="C29" s="72">
        <f>'RAW IMPORT'!C19</f>
        <v>0</v>
      </c>
      <c r="D29" s="82">
        <f>'RAW IMPORT'!D19</f>
        <v>0</v>
      </c>
      <c r="E29" s="82">
        <f>'RAW IMPORT'!E19</f>
        <v>0</v>
      </c>
      <c r="F29" s="104"/>
      <c r="G29" s="68"/>
    </row>
    <row r="30" spans="1:7" ht="15" customHeight="1" x14ac:dyDescent="0.25">
      <c r="A30" s="69">
        <f>'RAW IMPORT'!A20</f>
        <v>0</v>
      </c>
      <c r="B30" s="70">
        <f>'RAW IMPORT'!B20</f>
        <v>0</v>
      </c>
      <c r="C30" s="72">
        <f>'RAW IMPORT'!C20</f>
        <v>0</v>
      </c>
      <c r="D30" s="82">
        <f>'RAW IMPORT'!D20</f>
        <v>0</v>
      </c>
      <c r="E30" s="82">
        <f>'RAW IMPORT'!E20</f>
        <v>0</v>
      </c>
      <c r="F30" s="104"/>
      <c r="G30" s="68"/>
    </row>
    <row r="31" spans="1:7" ht="15" customHeight="1" x14ac:dyDescent="0.25">
      <c r="A31" s="69">
        <f>'RAW IMPORT'!A21</f>
        <v>0</v>
      </c>
      <c r="B31" s="70">
        <f>'RAW IMPORT'!B21</f>
        <v>0</v>
      </c>
      <c r="C31" s="72">
        <f>'RAW IMPORT'!C21</f>
        <v>0</v>
      </c>
      <c r="D31" s="82">
        <f>'RAW IMPORT'!D21</f>
        <v>0</v>
      </c>
      <c r="E31" s="82">
        <f>'RAW IMPORT'!E21</f>
        <v>0</v>
      </c>
      <c r="F31" s="104"/>
      <c r="G31" s="68"/>
    </row>
    <row r="32" spans="1:7" ht="15" customHeight="1" x14ac:dyDescent="0.25">
      <c r="A32" s="69">
        <f>'RAW IMPORT'!A22</f>
        <v>0</v>
      </c>
      <c r="B32" s="70">
        <f>'RAW IMPORT'!B22</f>
        <v>0</v>
      </c>
      <c r="C32" s="72">
        <f>'RAW IMPORT'!C22</f>
        <v>0</v>
      </c>
      <c r="D32" s="82">
        <f>'RAW IMPORT'!D22</f>
        <v>0</v>
      </c>
      <c r="E32" s="82">
        <f>'RAW IMPORT'!E22</f>
        <v>0</v>
      </c>
      <c r="F32" s="104"/>
      <c r="G32" s="68"/>
    </row>
    <row r="33" spans="1:7" ht="15" customHeight="1" x14ac:dyDescent="0.25">
      <c r="A33" s="69">
        <f>'RAW IMPORT'!A23</f>
        <v>0</v>
      </c>
      <c r="B33" s="70">
        <f>'RAW IMPORT'!B23</f>
        <v>0</v>
      </c>
      <c r="C33" s="72">
        <f>'RAW IMPORT'!C23</f>
        <v>0</v>
      </c>
      <c r="D33" s="82">
        <f>'RAW IMPORT'!D23</f>
        <v>0</v>
      </c>
      <c r="E33" s="82">
        <f>'RAW IMPORT'!E23</f>
        <v>0</v>
      </c>
      <c r="F33" s="104"/>
      <c r="G33" s="68"/>
    </row>
    <row r="34" spans="1:7" ht="15" customHeight="1" x14ac:dyDescent="0.25">
      <c r="A34" s="69">
        <f>'RAW IMPORT'!A24</f>
        <v>0</v>
      </c>
      <c r="B34" s="70">
        <f>'RAW IMPORT'!B24</f>
        <v>0</v>
      </c>
      <c r="C34" s="72">
        <f>'RAW IMPORT'!C24</f>
        <v>0</v>
      </c>
      <c r="D34" s="82">
        <f>'RAW IMPORT'!D24</f>
        <v>0</v>
      </c>
      <c r="E34" s="82">
        <f>'RAW IMPORT'!E24</f>
        <v>0</v>
      </c>
      <c r="F34" s="104"/>
      <c r="G34" s="68"/>
    </row>
    <row r="35" spans="1:7" ht="15" customHeight="1" x14ac:dyDescent="0.25">
      <c r="A35" s="69">
        <f>'RAW IMPORT'!A25</f>
        <v>0</v>
      </c>
      <c r="B35" s="70">
        <f>'RAW IMPORT'!B25</f>
        <v>0</v>
      </c>
      <c r="C35" s="72">
        <f>'RAW IMPORT'!C25</f>
        <v>0</v>
      </c>
      <c r="D35" s="82">
        <f>'RAW IMPORT'!D25</f>
        <v>0</v>
      </c>
      <c r="E35" s="82">
        <f>'RAW IMPORT'!E25</f>
        <v>0</v>
      </c>
      <c r="F35" s="104"/>
      <c r="G35" s="68"/>
    </row>
    <row r="36" spans="1:7" ht="15" customHeight="1" x14ac:dyDescent="0.25">
      <c r="A36" s="69">
        <f>'RAW IMPORT'!A26</f>
        <v>0</v>
      </c>
      <c r="B36" s="70">
        <f>'RAW IMPORT'!B26</f>
        <v>0</v>
      </c>
      <c r="C36" s="72">
        <f>'RAW IMPORT'!C26</f>
        <v>0</v>
      </c>
      <c r="D36" s="82">
        <f>'RAW IMPORT'!D26</f>
        <v>0</v>
      </c>
      <c r="E36" s="82">
        <f>'RAW IMPORT'!E26</f>
        <v>0</v>
      </c>
      <c r="F36" s="104"/>
      <c r="G36" s="68"/>
    </row>
    <row r="37" spans="1:7" ht="15" customHeight="1" x14ac:dyDescent="0.25">
      <c r="A37" s="69">
        <f>'RAW IMPORT'!A27</f>
        <v>0</v>
      </c>
      <c r="B37" s="70">
        <f>'RAW IMPORT'!B27</f>
        <v>0</v>
      </c>
      <c r="C37" s="72">
        <f>'RAW IMPORT'!C27</f>
        <v>0</v>
      </c>
      <c r="D37" s="82">
        <f>'RAW IMPORT'!D27</f>
        <v>0</v>
      </c>
      <c r="E37" s="82">
        <f>'RAW IMPORT'!E27</f>
        <v>0</v>
      </c>
      <c r="F37" s="104"/>
      <c r="G37" s="68"/>
    </row>
    <row r="38" spans="1:7" ht="15" customHeight="1" x14ac:dyDescent="0.25">
      <c r="A38" s="69">
        <f>'RAW IMPORT'!A28</f>
        <v>0</v>
      </c>
      <c r="B38" s="70">
        <f>'RAW IMPORT'!B28</f>
        <v>0</v>
      </c>
      <c r="C38" s="72">
        <f>'RAW IMPORT'!C28</f>
        <v>0</v>
      </c>
      <c r="D38" s="82">
        <f>'RAW IMPORT'!D28</f>
        <v>0</v>
      </c>
      <c r="E38" s="82">
        <f>'RAW IMPORT'!E28</f>
        <v>0</v>
      </c>
      <c r="F38" s="104"/>
      <c r="G38" s="68"/>
    </row>
    <row r="39" spans="1:7" ht="15" customHeight="1" x14ac:dyDescent="0.25">
      <c r="A39" s="69">
        <f>'RAW IMPORT'!A29</f>
        <v>0</v>
      </c>
      <c r="B39" s="70">
        <f>'RAW IMPORT'!B29</f>
        <v>0</v>
      </c>
      <c r="C39" s="72">
        <f>'RAW IMPORT'!C29</f>
        <v>0</v>
      </c>
      <c r="D39" s="82">
        <f>'RAW IMPORT'!D29</f>
        <v>0</v>
      </c>
      <c r="E39" s="82">
        <f>'RAW IMPORT'!E29</f>
        <v>0</v>
      </c>
      <c r="F39" s="104"/>
      <c r="G39" s="68"/>
    </row>
    <row r="40" spans="1:7" ht="15" customHeight="1" x14ac:dyDescent="0.25">
      <c r="A40" s="69">
        <f>'RAW IMPORT'!A30</f>
        <v>0</v>
      </c>
      <c r="B40" s="70">
        <f>'RAW IMPORT'!B30</f>
        <v>0</v>
      </c>
      <c r="C40" s="72">
        <f>'RAW IMPORT'!C30</f>
        <v>0</v>
      </c>
      <c r="D40" s="82">
        <f>'RAW IMPORT'!D30</f>
        <v>0</v>
      </c>
      <c r="E40" s="82">
        <f>'RAW IMPORT'!E30</f>
        <v>0</v>
      </c>
      <c r="F40" s="104"/>
      <c r="G40" s="68"/>
    </row>
    <row r="41" spans="1:7" ht="15" customHeight="1" x14ac:dyDescent="0.25">
      <c r="A41" s="69">
        <f>'RAW IMPORT'!A31</f>
        <v>0</v>
      </c>
      <c r="B41" s="70">
        <f>'RAW IMPORT'!B31</f>
        <v>0</v>
      </c>
      <c r="C41" s="72">
        <f>'RAW IMPORT'!C31</f>
        <v>0</v>
      </c>
      <c r="D41" s="82">
        <f>'RAW IMPORT'!D31</f>
        <v>0</v>
      </c>
      <c r="E41" s="82">
        <f>'RAW IMPORT'!E31</f>
        <v>0</v>
      </c>
      <c r="F41" s="104"/>
      <c r="G41" s="68"/>
    </row>
    <row r="42" spans="1:7" ht="15" customHeight="1" x14ac:dyDescent="0.25">
      <c r="A42" s="69">
        <f>'RAW IMPORT'!A32</f>
        <v>0</v>
      </c>
      <c r="B42" s="70">
        <f>'RAW IMPORT'!B32</f>
        <v>0</v>
      </c>
      <c r="C42" s="72">
        <f>'RAW IMPORT'!C32</f>
        <v>0</v>
      </c>
      <c r="D42" s="82">
        <f>'RAW IMPORT'!D32</f>
        <v>0</v>
      </c>
      <c r="E42" s="82">
        <f>'RAW IMPORT'!E32</f>
        <v>0</v>
      </c>
      <c r="F42" s="104"/>
      <c r="G42" s="68"/>
    </row>
    <row r="43" spans="1:7" ht="15" customHeight="1" x14ac:dyDescent="0.25">
      <c r="A43" s="69">
        <f>'RAW IMPORT'!A33</f>
        <v>0</v>
      </c>
      <c r="B43" s="70">
        <f>'RAW IMPORT'!B33</f>
        <v>0</v>
      </c>
      <c r="C43" s="72">
        <f>'RAW IMPORT'!C33</f>
        <v>0</v>
      </c>
      <c r="D43" s="82">
        <f>'RAW IMPORT'!D33</f>
        <v>0</v>
      </c>
      <c r="E43" s="82">
        <f>'RAW IMPORT'!E33</f>
        <v>0</v>
      </c>
      <c r="F43" s="104"/>
      <c r="G43" s="68"/>
    </row>
    <row r="44" spans="1:7" ht="15" customHeight="1" x14ac:dyDescent="0.25">
      <c r="A44" s="69">
        <f>'RAW IMPORT'!A34</f>
        <v>0</v>
      </c>
      <c r="B44" s="70">
        <f>'RAW IMPORT'!B34</f>
        <v>0</v>
      </c>
      <c r="C44" s="72">
        <f>'RAW IMPORT'!C34</f>
        <v>0</v>
      </c>
      <c r="D44" s="82">
        <f>'RAW IMPORT'!D34</f>
        <v>0</v>
      </c>
      <c r="E44" s="82">
        <f>'RAW IMPORT'!E34</f>
        <v>0</v>
      </c>
      <c r="F44" s="104"/>
      <c r="G44" s="68"/>
    </row>
    <row r="45" spans="1:7" ht="15" customHeight="1" x14ac:dyDescent="0.25">
      <c r="A45" s="69">
        <f>'RAW IMPORT'!A35</f>
        <v>0</v>
      </c>
      <c r="B45" s="70">
        <f>'RAW IMPORT'!B35</f>
        <v>0</v>
      </c>
      <c r="C45" s="72">
        <f>'RAW IMPORT'!C35</f>
        <v>0</v>
      </c>
      <c r="D45" s="82">
        <f>'RAW IMPORT'!D35</f>
        <v>0</v>
      </c>
      <c r="E45" s="82">
        <f>'RAW IMPORT'!E35</f>
        <v>0</v>
      </c>
      <c r="F45" s="104"/>
      <c r="G45" s="68"/>
    </row>
    <row r="46" spans="1:7" ht="15" customHeight="1" x14ac:dyDescent="0.25">
      <c r="A46" s="69">
        <f>'RAW IMPORT'!A36</f>
        <v>0</v>
      </c>
      <c r="B46" s="70">
        <f>'RAW IMPORT'!B36</f>
        <v>0</v>
      </c>
      <c r="C46" s="72">
        <f>'RAW IMPORT'!C36</f>
        <v>0</v>
      </c>
      <c r="D46" s="82">
        <f>'RAW IMPORT'!D36</f>
        <v>0</v>
      </c>
      <c r="E46" s="82">
        <f>'RAW IMPORT'!E36</f>
        <v>0</v>
      </c>
      <c r="F46" s="104"/>
      <c r="G46" s="68"/>
    </row>
    <row r="47" spans="1:7" ht="15" customHeight="1" x14ac:dyDescent="0.25">
      <c r="A47" s="69">
        <f>'RAW IMPORT'!A37</f>
        <v>0</v>
      </c>
      <c r="B47" s="70">
        <f>'RAW IMPORT'!B37</f>
        <v>0</v>
      </c>
      <c r="C47" s="72">
        <f>'RAW IMPORT'!C37</f>
        <v>0</v>
      </c>
      <c r="D47" s="82">
        <f>'RAW IMPORT'!D37</f>
        <v>0</v>
      </c>
      <c r="E47" s="82">
        <f>'RAW IMPORT'!E37</f>
        <v>0</v>
      </c>
      <c r="F47" s="104"/>
      <c r="G47" s="68"/>
    </row>
    <row r="48" spans="1:7" ht="15" customHeight="1" x14ac:dyDescent="0.25">
      <c r="A48" s="69">
        <f>'RAW IMPORT'!A38</f>
        <v>0</v>
      </c>
      <c r="B48" s="70">
        <f>'RAW IMPORT'!B38</f>
        <v>0</v>
      </c>
      <c r="C48" s="72">
        <f>'RAW IMPORT'!C38</f>
        <v>0</v>
      </c>
      <c r="D48" s="82">
        <f>'RAW IMPORT'!D38</f>
        <v>0</v>
      </c>
      <c r="E48" s="82">
        <f>'RAW IMPORT'!E38</f>
        <v>0</v>
      </c>
      <c r="F48" s="104"/>
      <c r="G48" s="68"/>
    </row>
    <row r="49" spans="1:7" ht="15" customHeight="1" x14ac:dyDescent="0.25">
      <c r="A49" s="69">
        <f>'RAW IMPORT'!A39</f>
        <v>0</v>
      </c>
      <c r="B49" s="70">
        <f>'RAW IMPORT'!B39</f>
        <v>0</v>
      </c>
      <c r="C49" s="72">
        <f>'RAW IMPORT'!C39</f>
        <v>0</v>
      </c>
      <c r="D49" s="82">
        <f>'RAW IMPORT'!D39</f>
        <v>0</v>
      </c>
      <c r="E49" s="82">
        <f>'RAW IMPORT'!E39</f>
        <v>0</v>
      </c>
      <c r="F49" s="104"/>
      <c r="G49" s="68"/>
    </row>
    <row r="50" spans="1:7" ht="15" customHeight="1" x14ac:dyDescent="0.25">
      <c r="A50" s="69">
        <f>'RAW IMPORT'!A40</f>
        <v>0</v>
      </c>
      <c r="B50" s="70">
        <f>'RAW IMPORT'!B40</f>
        <v>0</v>
      </c>
      <c r="C50" s="72">
        <f>'RAW IMPORT'!C40</f>
        <v>0</v>
      </c>
      <c r="D50" s="82">
        <f>'RAW IMPORT'!D40</f>
        <v>0</v>
      </c>
      <c r="E50" s="82">
        <f>'RAW IMPORT'!E40</f>
        <v>0</v>
      </c>
      <c r="F50" s="104"/>
      <c r="G50" s="68"/>
    </row>
    <row r="51" spans="1:7" ht="15" customHeight="1" x14ac:dyDescent="0.25">
      <c r="A51" s="69">
        <f>'RAW IMPORT'!A41</f>
        <v>0</v>
      </c>
      <c r="B51" s="70">
        <f>'RAW IMPORT'!B41</f>
        <v>0</v>
      </c>
      <c r="C51" s="72">
        <f>'RAW IMPORT'!C41</f>
        <v>0</v>
      </c>
      <c r="D51" s="82">
        <f>'RAW IMPORT'!D41</f>
        <v>0</v>
      </c>
      <c r="E51" s="82">
        <f>'RAW IMPORT'!E41</f>
        <v>0</v>
      </c>
      <c r="F51" s="104"/>
      <c r="G51" s="68"/>
    </row>
    <row r="52" spans="1:7" ht="15" customHeight="1" x14ac:dyDescent="0.25">
      <c r="A52" s="69">
        <f>'RAW IMPORT'!A42</f>
        <v>0</v>
      </c>
      <c r="B52" s="70">
        <f>'RAW IMPORT'!B42</f>
        <v>0</v>
      </c>
      <c r="C52" s="72">
        <f>'RAW IMPORT'!C42</f>
        <v>0</v>
      </c>
      <c r="D52" s="82">
        <f>'RAW IMPORT'!D42</f>
        <v>0</v>
      </c>
      <c r="E52" s="82">
        <f>'RAW IMPORT'!E42</f>
        <v>0</v>
      </c>
      <c r="F52" s="104"/>
      <c r="G52" s="68"/>
    </row>
    <row r="53" spans="1:7" ht="15" customHeight="1" x14ac:dyDescent="0.25">
      <c r="A53" s="69">
        <f>'RAW IMPORT'!A43</f>
        <v>0</v>
      </c>
      <c r="B53" s="70">
        <f>'RAW IMPORT'!B43</f>
        <v>0</v>
      </c>
      <c r="C53" s="72">
        <f>'RAW IMPORT'!C43</f>
        <v>0</v>
      </c>
      <c r="D53" s="82">
        <f>'RAW IMPORT'!D43</f>
        <v>0</v>
      </c>
      <c r="E53" s="82">
        <f>'RAW IMPORT'!E43</f>
        <v>0</v>
      </c>
      <c r="F53" s="104"/>
      <c r="G53" s="68"/>
    </row>
    <row r="54" spans="1:7" ht="15" customHeight="1" x14ac:dyDescent="0.25">
      <c r="A54" s="69">
        <f>'RAW IMPORT'!A44</f>
        <v>0</v>
      </c>
      <c r="B54" s="70">
        <f>'RAW IMPORT'!B44</f>
        <v>0</v>
      </c>
      <c r="C54" s="72">
        <f>'RAW IMPORT'!C44</f>
        <v>0</v>
      </c>
      <c r="D54" s="82">
        <f>'RAW IMPORT'!D44</f>
        <v>0</v>
      </c>
      <c r="E54" s="82">
        <f>'RAW IMPORT'!E44</f>
        <v>0</v>
      </c>
      <c r="F54" s="104"/>
      <c r="G54" s="68"/>
    </row>
    <row r="55" spans="1:7" ht="15" customHeight="1" x14ac:dyDescent="0.25">
      <c r="A55" s="69">
        <f>'RAW IMPORT'!A45</f>
        <v>0</v>
      </c>
      <c r="B55" s="70">
        <f>'RAW IMPORT'!B45</f>
        <v>0</v>
      </c>
      <c r="C55" s="72">
        <f>'RAW IMPORT'!C45</f>
        <v>0</v>
      </c>
      <c r="D55" s="82">
        <f>'RAW IMPORT'!D45</f>
        <v>0</v>
      </c>
      <c r="E55" s="82">
        <f>'RAW IMPORT'!E45</f>
        <v>0</v>
      </c>
      <c r="F55" s="104"/>
      <c r="G55" s="68"/>
    </row>
    <row r="56" spans="1:7" ht="15" customHeight="1" x14ac:dyDescent="0.25">
      <c r="A56" s="69">
        <f>'RAW IMPORT'!A46</f>
        <v>0</v>
      </c>
      <c r="B56" s="70">
        <f>'RAW IMPORT'!B46</f>
        <v>0</v>
      </c>
      <c r="C56" s="72">
        <f>'RAW IMPORT'!C46</f>
        <v>0</v>
      </c>
      <c r="D56" s="82">
        <f>'RAW IMPORT'!D46</f>
        <v>0</v>
      </c>
      <c r="E56" s="82">
        <f>'RAW IMPORT'!E46</f>
        <v>0</v>
      </c>
      <c r="F56" s="104"/>
      <c r="G56" s="68"/>
    </row>
    <row r="57" spans="1:7" ht="15" customHeight="1" x14ac:dyDescent="0.25">
      <c r="A57" s="69">
        <f>'RAW IMPORT'!A47</f>
        <v>0</v>
      </c>
      <c r="B57" s="70">
        <f>'RAW IMPORT'!B47</f>
        <v>0</v>
      </c>
      <c r="C57" s="72">
        <f>'RAW IMPORT'!C47</f>
        <v>0</v>
      </c>
      <c r="D57" s="82">
        <f>'RAW IMPORT'!D47</f>
        <v>0</v>
      </c>
      <c r="E57" s="82">
        <f>'RAW IMPORT'!E47</f>
        <v>0</v>
      </c>
      <c r="F57" s="104"/>
      <c r="G57" s="68"/>
    </row>
    <row r="58" spans="1:7" ht="15" customHeight="1" x14ac:dyDescent="0.25">
      <c r="A58" s="69">
        <f>'RAW IMPORT'!A48</f>
        <v>0</v>
      </c>
      <c r="B58" s="70">
        <f>'RAW IMPORT'!B48</f>
        <v>0</v>
      </c>
      <c r="C58" s="72">
        <f>'RAW IMPORT'!C48</f>
        <v>0</v>
      </c>
      <c r="D58" s="82">
        <f>'RAW IMPORT'!D48</f>
        <v>0</v>
      </c>
      <c r="E58" s="82">
        <f>'RAW IMPORT'!E48</f>
        <v>0</v>
      </c>
      <c r="F58" s="104"/>
      <c r="G58" s="68"/>
    </row>
    <row r="59" spans="1:7" ht="15" customHeight="1" x14ac:dyDescent="0.25">
      <c r="A59" s="69">
        <f>'RAW IMPORT'!A49</f>
        <v>0</v>
      </c>
      <c r="B59" s="70">
        <f>'RAW IMPORT'!B49</f>
        <v>0</v>
      </c>
      <c r="C59" s="72">
        <f>'RAW IMPORT'!C49</f>
        <v>0</v>
      </c>
      <c r="D59" s="82">
        <f>'RAW IMPORT'!D49</f>
        <v>0</v>
      </c>
      <c r="E59" s="82">
        <f>'RAW IMPORT'!E49</f>
        <v>0</v>
      </c>
      <c r="F59" s="104"/>
      <c r="G59" s="68"/>
    </row>
    <row r="60" spans="1:7" ht="15" customHeight="1" x14ac:dyDescent="0.25">
      <c r="A60" s="69">
        <f>'RAW IMPORT'!A50</f>
        <v>0</v>
      </c>
      <c r="B60" s="70">
        <f>'RAW IMPORT'!B50</f>
        <v>0</v>
      </c>
      <c r="C60" s="72">
        <f>'RAW IMPORT'!C50</f>
        <v>0</v>
      </c>
      <c r="D60" s="82">
        <f>'RAW IMPORT'!D50</f>
        <v>0</v>
      </c>
      <c r="E60" s="82">
        <f>'RAW IMPORT'!E50</f>
        <v>0</v>
      </c>
      <c r="F60" s="104"/>
      <c r="G60" s="68"/>
    </row>
    <row r="61" spans="1:7" ht="15" customHeight="1" x14ac:dyDescent="0.25">
      <c r="A61" s="69">
        <f>'RAW IMPORT'!A51</f>
        <v>0</v>
      </c>
      <c r="B61" s="70">
        <f>'RAW IMPORT'!B51</f>
        <v>0</v>
      </c>
      <c r="C61" s="72">
        <f>'RAW IMPORT'!C51</f>
        <v>0</v>
      </c>
      <c r="D61" s="82">
        <f>'RAW IMPORT'!D51</f>
        <v>0</v>
      </c>
      <c r="E61" s="82">
        <f>'RAW IMPORT'!E51</f>
        <v>0</v>
      </c>
      <c r="F61" s="104"/>
      <c r="G61" s="68"/>
    </row>
    <row r="62" spans="1:7" ht="15" customHeight="1" x14ac:dyDescent="0.25">
      <c r="A62" s="69">
        <f>'RAW IMPORT'!A52</f>
        <v>0</v>
      </c>
      <c r="B62" s="70">
        <f>'RAW IMPORT'!B52</f>
        <v>0</v>
      </c>
      <c r="C62" s="72">
        <f>'RAW IMPORT'!C52</f>
        <v>0</v>
      </c>
      <c r="D62" s="82">
        <f>'RAW IMPORT'!D52</f>
        <v>0</v>
      </c>
      <c r="E62" s="82">
        <f>'RAW IMPORT'!E52</f>
        <v>0</v>
      </c>
      <c r="F62" s="104"/>
      <c r="G62" s="68"/>
    </row>
    <row r="63" spans="1:7" ht="15" customHeight="1" x14ac:dyDescent="0.25">
      <c r="A63" s="69">
        <f>'RAW IMPORT'!A53</f>
        <v>0</v>
      </c>
      <c r="B63" s="70">
        <f>'RAW IMPORT'!B53</f>
        <v>0</v>
      </c>
      <c r="C63" s="72">
        <f>'RAW IMPORT'!C53</f>
        <v>0</v>
      </c>
      <c r="D63" s="82">
        <f>'RAW IMPORT'!D53</f>
        <v>0</v>
      </c>
      <c r="E63" s="82">
        <f>'RAW IMPORT'!E53</f>
        <v>0</v>
      </c>
      <c r="F63" s="104"/>
      <c r="G63" s="68"/>
    </row>
    <row r="64" spans="1:7" ht="15" customHeight="1" x14ac:dyDescent="0.25">
      <c r="A64" s="69">
        <f>'RAW IMPORT'!A54</f>
        <v>0</v>
      </c>
      <c r="B64" s="70">
        <f>'RAW IMPORT'!B54</f>
        <v>0</v>
      </c>
      <c r="C64" s="72">
        <f>'RAW IMPORT'!C54</f>
        <v>0</v>
      </c>
      <c r="D64" s="82">
        <f>'RAW IMPORT'!D54</f>
        <v>0</v>
      </c>
      <c r="E64" s="82">
        <f>'RAW IMPORT'!E54</f>
        <v>0</v>
      </c>
      <c r="F64" s="104"/>
      <c r="G64" s="68"/>
    </row>
    <row r="65" spans="1:7" ht="15" customHeight="1" x14ac:dyDescent="0.25">
      <c r="A65" s="69">
        <f>'RAW IMPORT'!A55</f>
        <v>0</v>
      </c>
      <c r="B65" s="70">
        <f>'RAW IMPORT'!B55</f>
        <v>0</v>
      </c>
      <c r="C65" s="72">
        <f>'RAW IMPORT'!C55</f>
        <v>0</v>
      </c>
      <c r="D65" s="82">
        <f>'RAW IMPORT'!D55</f>
        <v>0</v>
      </c>
      <c r="E65" s="82">
        <f>'RAW IMPORT'!E55</f>
        <v>0</v>
      </c>
      <c r="F65" s="104"/>
      <c r="G65" s="68"/>
    </row>
    <row r="66" spans="1:7" ht="15" customHeight="1" x14ac:dyDescent="0.25">
      <c r="A66" s="69">
        <f>'RAW IMPORT'!A56</f>
        <v>0</v>
      </c>
      <c r="B66" s="70">
        <f>'RAW IMPORT'!B56</f>
        <v>0</v>
      </c>
      <c r="C66" s="72">
        <f>'RAW IMPORT'!C56</f>
        <v>0</v>
      </c>
      <c r="D66" s="82">
        <f>'RAW IMPORT'!D56</f>
        <v>0</v>
      </c>
      <c r="E66" s="82">
        <f>'RAW IMPORT'!E56</f>
        <v>0</v>
      </c>
      <c r="F66" s="104"/>
      <c r="G66" s="68"/>
    </row>
    <row r="67" spans="1:7" ht="15" customHeight="1" x14ac:dyDescent="0.25">
      <c r="A67" s="69">
        <f>'RAW IMPORT'!A57</f>
        <v>0</v>
      </c>
      <c r="B67" s="70">
        <f>'RAW IMPORT'!B57</f>
        <v>0</v>
      </c>
      <c r="C67" s="72">
        <f>'RAW IMPORT'!C57</f>
        <v>0</v>
      </c>
      <c r="D67" s="82">
        <f>'RAW IMPORT'!D57</f>
        <v>0</v>
      </c>
      <c r="E67" s="82">
        <f>'RAW IMPORT'!E57</f>
        <v>0</v>
      </c>
      <c r="F67" s="104"/>
      <c r="G67" s="68"/>
    </row>
    <row r="68" spans="1:7" ht="15" customHeight="1" x14ac:dyDescent="0.25">
      <c r="A68" s="69">
        <f>'RAW IMPORT'!A58</f>
        <v>0</v>
      </c>
      <c r="B68" s="70">
        <f>'RAW IMPORT'!B58</f>
        <v>0</v>
      </c>
      <c r="C68" s="72">
        <f>'RAW IMPORT'!C58</f>
        <v>0</v>
      </c>
      <c r="D68" s="82">
        <f>'RAW IMPORT'!D58</f>
        <v>0</v>
      </c>
      <c r="E68" s="82">
        <f>'RAW IMPORT'!E58</f>
        <v>0</v>
      </c>
      <c r="F68" s="104"/>
      <c r="G68" s="68"/>
    </row>
    <row r="69" spans="1:7" ht="15" customHeight="1" x14ac:dyDescent="0.25">
      <c r="A69" s="69">
        <f>'RAW IMPORT'!A59</f>
        <v>0</v>
      </c>
      <c r="B69" s="70">
        <f>'RAW IMPORT'!B59</f>
        <v>0</v>
      </c>
      <c r="C69" s="72">
        <f>'RAW IMPORT'!C59</f>
        <v>0</v>
      </c>
      <c r="D69" s="82">
        <f>'RAW IMPORT'!D59</f>
        <v>0</v>
      </c>
      <c r="E69" s="82">
        <f>'RAW IMPORT'!E59</f>
        <v>0</v>
      </c>
      <c r="F69" s="104"/>
      <c r="G69" s="68"/>
    </row>
    <row r="70" spans="1:7" ht="15" customHeight="1" x14ac:dyDescent="0.25">
      <c r="A70" s="69">
        <f>'RAW IMPORT'!A60</f>
        <v>0</v>
      </c>
      <c r="B70" s="70">
        <f>'RAW IMPORT'!B60</f>
        <v>0</v>
      </c>
      <c r="C70" s="72">
        <f>'RAW IMPORT'!C60</f>
        <v>0</v>
      </c>
      <c r="D70" s="82">
        <f>'RAW IMPORT'!D60</f>
        <v>0</v>
      </c>
      <c r="E70" s="82">
        <f>'RAW IMPORT'!E60</f>
        <v>0</v>
      </c>
      <c r="F70" s="104"/>
      <c r="G70" s="68"/>
    </row>
    <row r="71" spans="1:7" ht="15" customHeight="1" x14ac:dyDescent="0.25">
      <c r="A71" s="69">
        <f>'RAW IMPORT'!A61</f>
        <v>0</v>
      </c>
      <c r="B71" s="70">
        <f>'RAW IMPORT'!B61</f>
        <v>0</v>
      </c>
      <c r="C71" s="72">
        <f>'RAW IMPORT'!C61</f>
        <v>0</v>
      </c>
      <c r="D71" s="82">
        <f>'RAW IMPORT'!D61</f>
        <v>0</v>
      </c>
      <c r="E71" s="82">
        <f>'RAW IMPORT'!E61</f>
        <v>0</v>
      </c>
      <c r="F71" s="104"/>
      <c r="G71" s="68"/>
    </row>
    <row r="72" spans="1:7" ht="15" customHeight="1" x14ac:dyDescent="0.25">
      <c r="A72" s="69">
        <f>'RAW IMPORT'!A62</f>
        <v>0</v>
      </c>
      <c r="B72" s="70">
        <f>'RAW IMPORT'!B62</f>
        <v>0</v>
      </c>
      <c r="C72" s="72">
        <f>'RAW IMPORT'!C62</f>
        <v>0</v>
      </c>
      <c r="D72" s="82">
        <f>'RAW IMPORT'!D62</f>
        <v>0</v>
      </c>
      <c r="E72" s="82">
        <f>'RAW IMPORT'!E62</f>
        <v>0</v>
      </c>
      <c r="F72" s="104"/>
      <c r="G72" s="68"/>
    </row>
    <row r="73" spans="1:7" ht="15" customHeight="1" x14ac:dyDescent="0.25">
      <c r="A73" s="69">
        <f>'RAW IMPORT'!A63</f>
        <v>0</v>
      </c>
      <c r="B73" s="70">
        <f>'RAW IMPORT'!B63</f>
        <v>0</v>
      </c>
      <c r="C73" s="72">
        <f>'RAW IMPORT'!C63</f>
        <v>0</v>
      </c>
      <c r="D73" s="82">
        <f>'RAW IMPORT'!D63</f>
        <v>0</v>
      </c>
      <c r="E73" s="82">
        <f>'RAW IMPORT'!E63</f>
        <v>0</v>
      </c>
      <c r="F73" s="104"/>
      <c r="G73" s="68"/>
    </row>
    <row r="74" spans="1:7" ht="15" customHeight="1" x14ac:dyDescent="0.25">
      <c r="A74" s="69">
        <f>'RAW IMPORT'!A64</f>
        <v>0</v>
      </c>
      <c r="B74" s="70">
        <f>'RAW IMPORT'!B64</f>
        <v>0</v>
      </c>
      <c r="C74" s="72">
        <f>'RAW IMPORT'!C64</f>
        <v>0</v>
      </c>
      <c r="D74" s="82">
        <f>'RAW IMPORT'!D64</f>
        <v>0</v>
      </c>
      <c r="E74" s="82">
        <f>'RAW IMPORT'!E64</f>
        <v>0</v>
      </c>
      <c r="F74" s="104"/>
      <c r="G74" s="68"/>
    </row>
    <row r="75" spans="1:7" ht="15" customHeight="1" x14ac:dyDescent="0.25">
      <c r="A75" s="69">
        <f>'RAW IMPORT'!A65</f>
        <v>0</v>
      </c>
      <c r="B75" s="70">
        <f>'RAW IMPORT'!B65</f>
        <v>0</v>
      </c>
      <c r="C75" s="72">
        <f>'RAW IMPORT'!C65</f>
        <v>0</v>
      </c>
      <c r="D75" s="82">
        <f>'RAW IMPORT'!D65</f>
        <v>0</v>
      </c>
      <c r="E75" s="82">
        <f>'RAW IMPORT'!E65</f>
        <v>0</v>
      </c>
      <c r="F75" s="104"/>
      <c r="G75" s="68"/>
    </row>
    <row r="76" spans="1:7" ht="15" customHeight="1" x14ac:dyDescent="0.25">
      <c r="A76" s="69">
        <f>'RAW IMPORT'!A66</f>
        <v>0</v>
      </c>
      <c r="B76" s="70">
        <f>'RAW IMPORT'!B66</f>
        <v>0</v>
      </c>
      <c r="C76" s="72">
        <f>'RAW IMPORT'!C66</f>
        <v>0</v>
      </c>
      <c r="D76" s="82">
        <f>'RAW IMPORT'!D66</f>
        <v>0</v>
      </c>
      <c r="E76" s="82">
        <f>'RAW IMPORT'!E66</f>
        <v>0</v>
      </c>
      <c r="F76" s="104"/>
      <c r="G76" s="68"/>
    </row>
    <row r="77" spans="1:7" ht="15" customHeight="1" x14ac:dyDescent="0.25">
      <c r="A77" s="69">
        <f>'RAW IMPORT'!A67</f>
        <v>0</v>
      </c>
      <c r="B77" s="70">
        <f>'RAW IMPORT'!B67</f>
        <v>0</v>
      </c>
      <c r="C77" s="72">
        <f>'RAW IMPORT'!C67</f>
        <v>0</v>
      </c>
      <c r="D77" s="82">
        <f>'RAW IMPORT'!D67</f>
        <v>0</v>
      </c>
      <c r="E77" s="82">
        <f>'RAW IMPORT'!E67</f>
        <v>0</v>
      </c>
      <c r="F77" s="104"/>
      <c r="G77" s="68"/>
    </row>
    <row r="78" spans="1:7" ht="15" customHeight="1" x14ac:dyDescent="0.25">
      <c r="A78" s="69">
        <f>'RAW IMPORT'!A68</f>
        <v>0</v>
      </c>
      <c r="B78" s="70">
        <f>'RAW IMPORT'!B68</f>
        <v>0</v>
      </c>
      <c r="C78" s="72">
        <f>'RAW IMPORT'!C68</f>
        <v>0</v>
      </c>
      <c r="D78" s="82">
        <f>'RAW IMPORT'!D68</f>
        <v>0</v>
      </c>
      <c r="E78" s="82">
        <f>'RAW IMPORT'!E68</f>
        <v>0</v>
      </c>
      <c r="F78" s="104"/>
      <c r="G78" s="68"/>
    </row>
    <row r="79" spans="1:7" ht="15" customHeight="1" x14ac:dyDescent="0.25">
      <c r="A79" s="69">
        <f>'RAW IMPORT'!A69</f>
        <v>0</v>
      </c>
      <c r="B79" s="70">
        <f>'RAW IMPORT'!B69</f>
        <v>0</v>
      </c>
      <c r="C79" s="72">
        <f>'RAW IMPORT'!C69</f>
        <v>0</v>
      </c>
      <c r="D79" s="82">
        <f>'RAW IMPORT'!D69</f>
        <v>0</v>
      </c>
      <c r="E79" s="82">
        <f>'RAW IMPORT'!E69</f>
        <v>0</v>
      </c>
      <c r="F79" s="104"/>
      <c r="G79" s="68"/>
    </row>
    <row r="80" spans="1:7" ht="15" customHeight="1" x14ac:dyDescent="0.25">
      <c r="A80" s="69">
        <f>'RAW IMPORT'!A70</f>
        <v>0</v>
      </c>
      <c r="B80" s="70">
        <f>'RAW IMPORT'!B70</f>
        <v>0</v>
      </c>
      <c r="C80" s="72">
        <f>'RAW IMPORT'!C70</f>
        <v>0</v>
      </c>
      <c r="D80" s="82">
        <f>'RAW IMPORT'!D70</f>
        <v>0</v>
      </c>
      <c r="E80" s="82">
        <f>'RAW IMPORT'!E70</f>
        <v>0</v>
      </c>
      <c r="F80" s="104"/>
      <c r="G80" s="68"/>
    </row>
    <row r="81" spans="1:7" ht="15" customHeight="1" x14ac:dyDescent="0.25">
      <c r="A81" s="69">
        <f>'RAW IMPORT'!A71</f>
        <v>0</v>
      </c>
      <c r="B81" s="70">
        <f>'RAW IMPORT'!B71</f>
        <v>0</v>
      </c>
      <c r="C81" s="72">
        <f>'RAW IMPORT'!C71</f>
        <v>0</v>
      </c>
      <c r="D81" s="82">
        <f>'RAW IMPORT'!D71</f>
        <v>0</v>
      </c>
      <c r="E81" s="82">
        <f>'RAW IMPORT'!E71</f>
        <v>0</v>
      </c>
      <c r="F81" s="104"/>
      <c r="G81" s="68"/>
    </row>
    <row r="82" spans="1:7" ht="15" customHeight="1" x14ac:dyDescent="0.25">
      <c r="A82" s="69">
        <f>'RAW IMPORT'!A72</f>
        <v>0</v>
      </c>
      <c r="B82" s="70">
        <f>'RAW IMPORT'!B72</f>
        <v>0</v>
      </c>
      <c r="C82" s="72">
        <f>'RAW IMPORT'!C72</f>
        <v>0</v>
      </c>
      <c r="D82" s="82">
        <f>'RAW IMPORT'!D72</f>
        <v>0</v>
      </c>
      <c r="E82" s="82">
        <f>'RAW IMPORT'!E72</f>
        <v>0</v>
      </c>
      <c r="F82" s="104"/>
      <c r="G82" s="68"/>
    </row>
    <row r="83" spans="1:7" ht="15" customHeight="1" x14ac:dyDescent="0.25">
      <c r="A83" s="69">
        <f>'RAW IMPORT'!A73</f>
        <v>0</v>
      </c>
      <c r="B83" s="70">
        <f>'RAW IMPORT'!B73</f>
        <v>0</v>
      </c>
      <c r="C83" s="72">
        <f>'RAW IMPORT'!C73</f>
        <v>0</v>
      </c>
      <c r="D83" s="82">
        <f>'RAW IMPORT'!D73</f>
        <v>0</v>
      </c>
      <c r="E83" s="82">
        <f>'RAW IMPORT'!E73</f>
        <v>0</v>
      </c>
      <c r="F83" s="104"/>
      <c r="G83" s="68"/>
    </row>
    <row r="84" spans="1:7" ht="15" customHeight="1" x14ac:dyDescent="0.25">
      <c r="A84" s="69">
        <f>'RAW IMPORT'!A74</f>
        <v>0</v>
      </c>
      <c r="B84" s="70">
        <f>'RAW IMPORT'!B74</f>
        <v>0</v>
      </c>
      <c r="C84" s="72">
        <f>'RAW IMPORT'!C74</f>
        <v>0</v>
      </c>
      <c r="D84" s="82">
        <f>'RAW IMPORT'!D74</f>
        <v>0</v>
      </c>
      <c r="E84" s="82">
        <f>'RAW IMPORT'!E74</f>
        <v>0</v>
      </c>
      <c r="F84" s="104"/>
      <c r="G84" s="68"/>
    </row>
    <row r="85" spans="1:7" ht="15" customHeight="1" x14ac:dyDescent="0.25">
      <c r="A85" s="69">
        <f>'RAW IMPORT'!A75</f>
        <v>0</v>
      </c>
      <c r="B85" s="70">
        <f>'RAW IMPORT'!B75</f>
        <v>0</v>
      </c>
      <c r="C85" s="72">
        <f>'RAW IMPORT'!C75</f>
        <v>0</v>
      </c>
      <c r="D85" s="82">
        <f>'RAW IMPORT'!D75</f>
        <v>0</v>
      </c>
      <c r="E85" s="82">
        <f>'RAW IMPORT'!E75</f>
        <v>0</v>
      </c>
      <c r="F85" s="104"/>
      <c r="G85" s="68"/>
    </row>
    <row r="86" spans="1:7" ht="15" customHeight="1" x14ac:dyDescent="0.25">
      <c r="A86" s="69">
        <f>'RAW IMPORT'!A76</f>
        <v>0</v>
      </c>
      <c r="B86" s="70">
        <f>'RAW IMPORT'!B76</f>
        <v>0</v>
      </c>
      <c r="C86" s="72">
        <f>'RAW IMPORT'!C76</f>
        <v>0</v>
      </c>
      <c r="D86" s="82">
        <f>'RAW IMPORT'!D76</f>
        <v>0</v>
      </c>
      <c r="E86" s="82">
        <f>'RAW IMPORT'!E76</f>
        <v>0</v>
      </c>
      <c r="F86" s="104"/>
      <c r="G86" s="68"/>
    </row>
    <row r="87" spans="1:7" ht="15" customHeight="1" x14ac:dyDescent="0.25">
      <c r="A87" s="69">
        <f>'RAW IMPORT'!A77</f>
        <v>0</v>
      </c>
      <c r="B87" s="70">
        <f>'RAW IMPORT'!B77</f>
        <v>0</v>
      </c>
      <c r="C87" s="72">
        <f>'RAW IMPORT'!C77</f>
        <v>0</v>
      </c>
      <c r="D87" s="82">
        <f>'RAW IMPORT'!D77</f>
        <v>0</v>
      </c>
      <c r="E87" s="82">
        <f>'RAW IMPORT'!E77</f>
        <v>0</v>
      </c>
      <c r="F87" s="104"/>
      <c r="G87" s="68"/>
    </row>
    <row r="88" spans="1:7" ht="15" customHeight="1" x14ac:dyDescent="0.25">
      <c r="A88" s="69">
        <f>'RAW IMPORT'!A78</f>
        <v>0</v>
      </c>
      <c r="B88" s="70">
        <f>'RAW IMPORT'!B78</f>
        <v>0</v>
      </c>
      <c r="C88" s="72">
        <f>'RAW IMPORT'!C78</f>
        <v>0</v>
      </c>
      <c r="D88" s="82">
        <f>'RAW IMPORT'!D78</f>
        <v>0</v>
      </c>
      <c r="E88" s="82">
        <f>'RAW IMPORT'!E78</f>
        <v>0</v>
      </c>
      <c r="F88" s="104"/>
      <c r="G88" s="68"/>
    </row>
    <row r="89" spans="1:7" ht="15" customHeight="1" x14ac:dyDescent="0.25">
      <c r="A89" s="69">
        <f>'RAW IMPORT'!A79</f>
        <v>0</v>
      </c>
      <c r="B89" s="70">
        <f>'RAW IMPORT'!B79</f>
        <v>0</v>
      </c>
      <c r="C89" s="72">
        <f>'RAW IMPORT'!C79</f>
        <v>0</v>
      </c>
      <c r="D89" s="82">
        <f>'RAW IMPORT'!D79</f>
        <v>0</v>
      </c>
      <c r="E89" s="82">
        <f>'RAW IMPORT'!E79</f>
        <v>0</v>
      </c>
      <c r="F89" s="104"/>
      <c r="G89" s="68"/>
    </row>
    <row r="90" spans="1:7" ht="15" customHeight="1" x14ac:dyDescent="0.25">
      <c r="A90" s="69">
        <f>'RAW IMPORT'!A80</f>
        <v>0</v>
      </c>
      <c r="B90" s="70">
        <f>'RAW IMPORT'!B80</f>
        <v>0</v>
      </c>
      <c r="C90" s="72">
        <f>'RAW IMPORT'!C80</f>
        <v>0</v>
      </c>
      <c r="D90" s="82">
        <f>'RAW IMPORT'!D80</f>
        <v>0</v>
      </c>
      <c r="E90" s="82">
        <f>'RAW IMPORT'!E80</f>
        <v>0</v>
      </c>
      <c r="F90" s="104"/>
      <c r="G90" s="68"/>
    </row>
    <row r="91" spans="1:7" ht="15" customHeight="1" x14ac:dyDescent="0.25">
      <c r="A91" s="69">
        <f>'RAW IMPORT'!A81</f>
        <v>0</v>
      </c>
      <c r="B91" s="70">
        <f>'RAW IMPORT'!B81</f>
        <v>0</v>
      </c>
      <c r="C91" s="72">
        <f>'RAW IMPORT'!C81</f>
        <v>0</v>
      </c>
      <c r="D91" s="82">
        <f>'RAW IMPORT'!D81</f>
        <v>0</v>
      </c>
      <c r="E91" s="82">
        <f>'RAW IMPORT'!E81</f>
        <v>0</v>
      </c>
      <c r="F91" s="104"/>
      <c r="G91" s="68"/>
    </row>
    <row r="92" spans="1:7" ht="15" customHeight="1" x14ac:dyDescent="0.25">
      <c r="A92" s="69">
        <f>'RAW IMPORT'!A82</f>
        <v>0</v>
      </c>
      <c r="B92" s="70">
        <f>'RAW IMPORT'!B82</f>
        <v>0</v>
      </c>
      <c r="C92" s="72">
        <f>'RAW IMPORT'!C82</f>
        <v>0</v>
      </c>
      <c r="D92" s="82">
        <f>'RAW IMPORT'!D82</f>
        <v>0</v>
      </c>
      <c r="E92" s="82">
        <f>'RAW IMPORT'!E82</f>
        <v>0</v>
      </c>
      <c r="F92" s="104"/>
      <c r="G92" s="68"/>
    </row>
    <row r="93" spans="1:7" ht="15" customHeight="1" x14ac:dyDescent="0.25">
      <c r="A93" s="69">
        <f>'RAW IMPORT'!A83</f>
        <v>0</v>
      </c>
      <c r="B93" s="70">
        <f>'RAW IMPORT'!B83</f>
        <v>0</v>
      </c>
      <c r="C93" s="72">
        <f>'RAW IMPORT'!C83</f>
        <v>0</v>
      </c>
      <c r="D93" s="82">
        <f>'RAW IMPORT'!D83</f>
        <v>0</v>
      </c>
      <c r="E93" s="82">
        <f>'RAW IMPORT'!E83</f>
        <v>0</v>
      </c>
      <c r="F93" s="104"/>
      <c r="G93" s="68"/>
    </row>
    <row r="94" spans="1:7" ht="15" customHeight="1" x14ac:dyDescent="0.25">
      <c r="A94" s="69">
        <f>'RAW IMPORT'!A84</f>
        <v>0</v>
      </c>
      <c r="B94" s="70">
        <f>'RAW IMPORT'!B84</f>
        <v>0</v>
      </c>
      <c r="C94" s="72">
        <f>'RAW IMPORT'!C84</f>
        <v>0</v>
      </c>
      <c r="D94" s="82">
        <f>'RAW IMPORT'!D84</f>
        <v>0</v>
      </c>
      <c r="E94" s="82">
        <f>'RAW IMPORT'!E84</f>
        <v>0</v>
      </c>
      <c r="F94" s="104"/>
      <c r="G94" s="68"/>
    </row>
    <row r="95" spans="1:7" ht="15" customHeight="1" x14ac:dyDescent="0.25">
      <c r="A95" s="69">
        <f>'RAW IMPORT'!A85</f>
        <v>0</v>
      </c>
      <c r="B95" s="70">
        <f>'RAW IMPORT'!B85</f>
        <v>0</v>
      </c>
      <c r="C95" s="72">
        <f>'RAW IMPORT'!C85</f>
        <v>0</v>
      </c>
      <c r="D95" s="82">
        <f>'RAW IMPORT'!D85</f>
        <v>0</v>
      </c>
      <c r="E95" s="82">
        <f>'RAW IMPORT'!E85</f>
        <v>0</v>
      </c>
      <c r="F95" s="104"/>
      <c r="G95" s="68"/>
    </row>
    <row r="96" spans="1:7" ht="15" customHeight="1" x14ac:dyDescent="0.25">
      <c r="A96" s="69">
        <f>'RAW IMPORT'!A86</f>
        <v>0</v>
      </c>
      <c r="B96" s="70">
        <f>'RAW IMPORT'!B86</f>
        <v>0</v>
      </c>
      <c r="C96" s="72">
        <f>'RAW IMPORT'!C86</f>
        <v>0</v>
      </c>
      <c r="D96" s="82">
        <f>'RAW IMPORT'!D86</f>
        <v>0</v>
      </c>
      <c r="E96" s="82">
        <f>'RAW IMPORT'!E86</f>
        <v>0</v>
      </c>
      <c r="F96" s="104"/>
      <c r="G96" s="68"/>
    </row>
    <row r="97" spans="1:7" ht="15" customHeight="1" x14ac:dyDescent="0.25">
      <c r="A97" s="69">
        <f>'RAW IMPORT'!A87</f>
        <v>0</v>
      </c>
      <c r="B97" s="70">
        <f>'RAW IMPORT'!B87</f>
        <v>0</v>
      </c>
      <c r="C97" s="72">
        <f>'RAW IMPORT'!C87</f>
        <v>0</v>
      </c>
      <c r="D97" s="82">
        <f>'RAW IMPORT'!D87</f>
        <v>0</v>
      </c>
      <c r="E97" s="82">
        <f>'RAW IMPORT'!E87</f>
        <v>0</v>
      </c>
      <c r="F97" s="104"/>
      <c r="G97" s="68"/>
    </row>
    <row r="98" spans="1:7" ht="15" customHeight="1" x14ac:dyDescent="0.25">
      <c r="A98" s="69">
        <f>'RAW IMPORT'!A88</f>
        <v>0</v>
      </c>
      <c r="B98" s="70">
        <f>'RAW IMPORT'!B88</f>
        <v>0</v>
      </c>
      <c r="C98" s="72">
        <f>'RAW IMPORT'!C88</f>
        <v>0</v>
      </c>
      <c r="D98" s="82">
        <f>'RAW IMPORT'!D88</f>
        <v>0</v>
      </c>
      <c r="E98" s="82">
        <f>'RAW IMPORT'!E88</f>
        <v>0</v>
      </c>
      <c r="F98" s="104"/>
      <c r="G98" s="68"/>
    </row>
    <row r="99" spans="1:7" ht="15" customHeight="1" x14ac:dyDescent="0.25">
      <c r="A99" s="69">
        <f>'RAW IMPORT'!A89</f>
        <v>0</v>
      </c>
      <c r="B99" s="70">
        <f>'RAW IMPORT'!B89</f>
        <v>0</v>
      </c>
      <c r="C99" s="72">
        <f>'RAW IMPORT'!C89</f>
        <v>0</v>
      </c>
      <c r="D99" s="82">
        <f>'RAW IMPORT'!D89</f>
        <v>0</v>
      </c>
      <c r="E99" s="82">
        <f>'RAW IMPORT'!E89</f>
        <v>0</v>
      </c>
      <c r="F99" s="104"/>
      <c r="G99" s="68"/>
    </row>
    <row r="100" spans="1:7" ht="15" customHeight="1" x14ac:dyDescent="0.25">
      <c r="A100" s="69">
        <f>'RAW IMPORT'!A90</f>
        <v>0</v>
      </c>
      <c r="B100" s="70">
        <f>'RAW IMPORT'!B90</f>
        <v>0</v>
      </c>
      <c r="C100" s="72">
        <f>'RAW IMPORT'!C90</f>
        <v>0</v>
      </c>
      <c r="D100" s="82">
        <f>'RAW IMPORT'!D90</f>
        <v>0</v>
      </c>
      <c r="E100" s="82">
        <f>'RAW IMPORT'!E90</f>
        <v>0</v>
      </c>
      <c r="F100" s="104"/>
      <c r="G100" s="68"/>
    </row>
    <row r="101" spans="1:7" x14ac:dyDescent="0.25">
      <c r="A101" s="69">
        <f>'RAW IMPORT'!A91</f>
        <v>0</v>
      </c>
      <c r="B101" s="70">
        <f>'RAW IMPORT'!B91</f>
        <v>0</v>
      </c>
      <c r="C101" s="72">
        <f>'RAW IMPORT'!C91</f>
        <v>0</v>
      </c>
      <c r="D101" s="82">
        <f>'RAW IMPORT'!D91</f>
        <v>0</v>
      </c>
      <c r="E101" s="82">
        <f>'RAW IMPORT'!E91</f>
        <v>0</v>
      </c>
      <c r="F101" s="104"/>
      <c r="G101" s="68"/>
    </row>
    <row r="102" spans="1:7" ht="15.75" customHeight="1" x14ac:dyDescent="0.25">
      <c r="A102" s="69">
        <f>'RAW IMPORT'!A92</f>
        <v>0</v>
      </c>
      <c r="B102" s="70">
        <f>'RAW IMPORT'!B92</f>
        <v>0</v>
      </c>
      <c r="C102" s="72">
        <f>'RAW IMPORT'!C92</f>
        <v>0</v>
      </c>
      <c r="D102" s="82">
        <f>'RAW IMPORT'!D92</f>
        <v>0</v>
      </c>
      <c r="E102" s="82">
        <f>'RAW IMPORT'!E92</f>
        <v>0</v>
      </c>
      <c r="F102" s="104"/>
      <c r="G102" s="68"/>
    </row>
    <row r="103" spans="1:7" ht="15.75" customHeight="1" x14ac:dyDescent="0.25">
      <c r="A103" s="69">
        <f>'RAW IMPORT'!A93</f>
        <v>0</v>
      </c>
      <c r="B103" s="70">
        <f>'RAW IMPORT'!B93</f>
        <v>0</v>
      </c>
      <c r="C103" s="72">
        <f>'RAW IMPORT'!C93</f>
        <v>0</v>
      </c>
      <c r="D103" s="82">
        <f>'RAW IMPORT'!D93</f>
        <v>0</v>
      </c>
      <c r="E103" s="82">
        <f>'RAW IMPORT'!E93</f>
        <v>0</v>
      </c>
      <c r="F103" s="104"/>
      <c r="G103" s="68"/>
    </row>
    <row r="104" spans="1:7" ht="15.75" customHeight="1" x14ac:dyDescent="0.25">
      <c r="A104" s="69">
        <f>'RAW IMPORT'!A94</f>
        <v>0</v>
      </c>
      <c r="B104" s="70">
        <f>'RAW IMPORT'!B94</f>
        <v>0</v>
      </c>
      <c r="C104" s="72">
        <f>'RAW IMPORT'!C94</f>
        <v>0</v>
      </c>
      <c r="D104" s="82">
        <f>'RAW IMPORT'!D94</f>
        <v>0</v>
      </c>
      <c r="E104" s="82">
        <f>'RAW IMPORT'!E94</f>
        <v>0</v>
      </c>
      <c r="F104" s="104"/>
      <c r="G104" s="68"/>
    </row>
    <row r="105" spans="1:7" ht="15.75" customHeight="1" x14ac:dyDescent="0.25">
      <c r="A105" s="69">
        <f>'RAW IMPORT'!A95</f>
        <v>0</v>
      </c>
      <c r="B105" s="70">
        <f>'RAW IMPORT'!B95</f>
        <v>0</v>
      </c>
      <c r="C105" s="72">
        <f>'RAW IMPORT'!C95</f>
        <v>0</v>
      </c>
      <c r="D105" s="82">
        <f>'RAW IMPORT'!D95</f>
        <v>0</v>
      </c>
      <c r="E105" s="82">
        <f>'RAW IMPORT'!E95</f>
        <v>0</v>
      </c>
      <c r="F105" s="104"/>
      <c r="G105" s="68"/>
    </row>
    <row r="106" spans="1:7" ht="15.75" customHeight="1" x14ac:dyDescent="0.25">
      <c r="A106" s="69">
        <f>'RAW IMPORT'!A96</f>
        <v>0</v>
      </c>
      <c r="B106" s="70">
        <f>'RAW IMPORT'!B96</f>
        <v>0</v>
      </c>
      <c r="C106" s="72">
        <f>'RAW IMPORT'!C96</f>
        <v>0</v>
      </c>
      <c r="D106" s="82">
        <f>'RAW IMPORT'!D96</f>
        <v>0</v>
      </c>
      <c r="E106" s="82">
        <f>'RAW IMPORT'!E96</f>
        <v>0</v>
      </c>
      <c r="F106" s="104"/>
      <c r="G106" s="68"/>
    </row>
    <row r="107" spans="1:7" ht="15.75" customHeight="1" x14ac:dyDescent="0.25">
      <c r="A107" s="69">
        <f>'RAW IMPORT'!A97</f>
        <v>0</v>
      </c>
      <c r="B107" s="70">
        <f>'RAW IMPORT'!B97</f>
        <v>0</v>
      </c>
      <c r="C107" s="72">
        <f>'RAW IMPORT'!C97</f>
        <v>0</v>
      </c>
      <c r="D107" s="82">
        <f>'RAW IMPORT'!D97</f>
        <v>0</v>
      </c>
      <c r="E107" s="82">
        <f>'RAW IMPORT'!E97</f>
        <v>0</v>
      </c>
      <c r="F107" s="104"/>
      <c r="G107" s="68"/>
    </row>
    <row r="108" spans="1:7" ht="15.75" customHeight="1" x14ac:dyDescent="0.25">
      <c r="A108" s="69">
        <f>'RAW IMPORT'!A98</f>
        <v>0</v>
      </c>
      <c r="B108" s="70">
        <f>'RAW IMPORT'!B98</f>
        <v>0</v>
      </c>
      <c r="C108" s="72">
        <f>'RAW IMPORT'!C98</f>
        <v>0</v>
      </c>
      <c r="D108" s="82">
        <f>'RAW IMPORT'!D98</f>
        <v>0</v>
      </c>
      <c r="E108" s="82">
        <f>'RAW IMPORT'!E98</f>
        <v>0</v>
      </c>
      <c r="F108" s="104"/>
      <c r="G108" s="68"/>
    </row>
    <row r="109" spans="1:7" ht="15.75" customHeight="1" x14ac:dyDescent="0.25">
      <c r="A109" s="69">
        <f>'RAW IMPORT'!A99</f>
        <v>0</v>
      </c>
      <c r="B109" s="70">
        <f>'RAW IMPORT'!B99</f>
        <v>0</v>
      </c>
      <c r="C109" s="72">
        <f>'RAW IMPORT'!C99</f>
        <v>0</v>
      </c>
      <c r="D109" s="82">
        <f>'RAW IMPORT'!D99</f>
        <v>0</v>
      </c>
      <c r="E109" s="82">
        <f>'RAW IMPORT'!E99</f>
        <v>0</v>
      </c>
      <c r="F109" s="104"/>
      <c r="G109" s="68"/>
    </row>
    <row r="110" spans="1:7" ht="15.75" customHeight="1" x14ac:dyDescent="0.25">
      <c r="A110" s="69">
        <f>'RAW IMPORT'!A100</f>
        <v>0</v>
      </c>
      <c r="B110" s="70">
        <f>'RAW IMPORT'!B100</f>
        <v>0</v>
      </c>
      <c r="C110" s="72">
        <f>'RAW IMPORT'!C100</f>
        <v>0</v>
      </c>
      <c r="D110" s="82">
        <f>'RAW IMPORT'!D100</f>
        <v>0</v>
      </c>
      <c r="E110" s="82">
        <f>'RAW IMPORT'!E100</f>
        <v>0</v>
      </c>
      <c r="F110" s="104"/>
      <c r="G110" s="68"/>
    </row>
    <row r="111" spans="1:7" ht="15.75" customHeight="1" x14ac:dyDescent="0.25">
      <c r="A111" s="69">
        <f>'RAW IMPORT'!A101</f>
        <v>0</v>
      </c>
      <c r="B111" s="70">
        <f>'RAW IMPORT'!B101</f>
        <v>0</v>
      </c>
      <c r="C111" s="72">
        <f>'RAW IMPORT'!C101</f>
        <v>0</v>
      </c>
      <c r="D111" s="82">
        <f>'RAW IMPORT'!D101</f>
        <v>0</v>
      </c>
      <c r="E111" s="82">
        <f>'RAW IMPORT'!E101</f>
        <v>0</v>
      </c>
      <c r="F111" s="104"/>
      <c r="G111" s="68"/>
    </row>
    <row r="112" spans="1:7" ht="15.75" customHeight="1" x14ac:dyDescent="0.25">
      <c r="A112" s="69">
        <f>'RAW IMPORT'!A102</f>
        <v>0</v>
      </c>
      <c r="B112" s="70">
        <f>'RAW IMPORT'!B102</f>
        <v>0</v>
      </c>
      <c r="C112" s="72">
        <f>'RAW IMPORT'!C102</f>
        <v>0</v>
      </c>
      <c r="D112" s="82">
        <f>'RAW IMPORT'!D102</f>
        <v>0</v>
      </c>
      <c r="E112" s="82">
        <f>'RAW IMPORT'!E102</f>
        <v>0</v>
      </c>
      <c r="F112" s="104"/>
      <c r="G112" s="68"/>
    </row>
    <row r="113" spans="1:7" ht="15.75" customHeight="1" x14ac:dyDescent="0.25">
      <c r="A113" s="69">
        <f>'RAW IMPORT'!A103</f>
        <v>0</v>
      </c>
      <c r="B113" s="70">
        <f>'RAW IMPORT'!B103</f>
        <v>0</v>
      </c>
      <c r="C113" s="72">
        <f>'RAW IMPORT'!C103</f>
        <v>0</v>
      </c>
      <c r="D113" s="82">
        <f>'RAW IMPORT'!D103</f>
        <v>0</v>
      </c>
      <c r="E113" s="82">
        <f>'RAW IMPORT'!E103</f>
        <v>0</v>
      </c>
      <c r="F113" s="104"/>
      <c r="G113" s="68"/>
    </row>
    <row r="114" spans="1:7" ht="15.75" customHeight="1" x14ac:dyDescent="0.25">
      <c r="A114" s="69">
        <f>'RAW IMPORT'!A104</f>
        <v>0</v>
      </c>
      <c r="B114" s="70">
        <f>'RAW IMPORT'!B104</f>
        <v>0</v>
      </c>
      <c r="C114" s="72">
        <f>'RAW IMPORT'!C104</f>
        <v>0</v>
      </c>
      <c r="D114" s="82">
        <f>'RAW IMPORT'!D104</f>
        <v>0</v>
      </c>
      <c r="E114" s="82">
        <f>'RAW IMPORT'!E104</f>
        <v>0</v>
      </c>
      <c r="F114" s="104"/>
      <c r="G114" s="68"/>
    </row>
    <row r="115" spans="1:7" ht="15.75" customHeight="1" x14ac:dyDescent="0.25">
      <c r="A115" s="69">
        <f>'RAW IMPORT'!A105</f>
        <v>0</v>
      </c>
      <c r="B115" s="70">
        <f>'RAW IMPORT'!B105</f>
        <v>0</v>
      </c>
      <c r="C115" s="72">
        <f>'RAW IMPORT'!C105</f>
        <v>0</v>
      </c>
      <c r="D115" s="82">
        <f>'RAW IMPORT'!D105</f>
        <v>0</v>
      </c>
      <c r="E115" s="82">
        <f>'RAW IMPORT'!E105</f>
        <v>0</v>
      </c>
      <c r="F115" s="104"/>
      <c r="G115" s="68"/>
    </row>
    <row r="116" spans="1:7" ht="15.75" customHeight="1" x14ac:dyDescent="0.25">
      <c r="A116" s="69">
        <f>'RAW IMPORT'!A106</f>
        <v>0</v>
      </c>
      <c r="B116" s="70">
        <f>'RAW IMPORT'!B106</f>
        <v>0</v>
      </c>
      <c r="C116" s="72">
        <f>'RAW IMPORT'!C106</f>
        <v>0</v>
      </c>
      <c r="D116" s="82">
        <f>'RAW IMPORT'!D106</f>
        <v>0</v>
      </c>
      <c r="E116" s="82">
        <f>'RAW IMPORT'!E106</f>
        <v>0</v>
      </c>
      <c r="F116" s="104"/>
      <c r="G116" s="68"/>
    </row>
    <row r="117" spans="1:7" ht="15.75" customHeight="1" x14ac:dyDescent="0.25">
      <c r="A117" s="69">
        <f>'RAW IMPORT'!A107</f>
        <v>0</v>
      </c>
      <c r="B117" s="70">
        <f>'RAW IMPORT'!B107</f>
        <v>0</v>
      </c>
      <c r="C117" s="72">
        <f>'RAW IMPORT'!C107</f>
        <v>0</v>
      </c>
      <c r="D117" s="82">
        <f>'RAW IMPORT'!D107</f>
        <v>0</v>
      </c>
      <c r="E117" s="82">
        <f>'RAW IMPORT'!E107</f>
        <v>0</v>
      </c>
      <c r="F117" s="104"/>
      <c r="G117" s="68"/>
    </row>
    <row r="118" spans="1:7" ht="15.75" customHeight="1" x14ac:dyDescent="0.25">
      <c r="A118" s="69">
        <f>'RAW IMPORT'!A108</f>
        <v>0</v>
      </c>
      <c r="B118" s="70">
        <f>'RAW IMPORT'!B108</f>
        <v>0</v>
      </c>
      <c r="C118" s="72">
        <f>'RAW IMPORT'!C108</f>
        <v>0</v>
      </c>
      <c r="D118" s="82">
        <f>'RAW IMPORT'!D108</f>
        <v>0</v>
      </c>
      <c r="E118" s="82">
        <f>'RAW IMPORT'!E108</f>
        <v>0</v>
      </c>
      <c r="F118" s="104"/>
      <c r="G118" s="68"/>
    </row>
    <row r="119" spans="1:7" x14ac:dyDescent="0.25">
      <c r="A119" s="69">
        <f>'RAW IMPORT'!A109</f>
        <v>0</v>
      </c>
      <c r="B119" s="70">
        <f>'RAW IMPORT'!B109</f>
        <v>0</v>
      </c>
      <c r="C119" s="72">
        <f>'RAW IMPORT'!C109</f>
        <v>0</v>
      </c>
      <c r="D119" s="82">
        <f>'RAW IMPORT'!D109</f>
        <v>0</v>
      </c>
      <c r="E119" s="82">
        <f>'RAW IMPORT'!E109</f>
        <v>0</v>
      </c>
      <c r="F119" s="104"/>
      <c r="G119" s="68"/>
    </row>
    <row r="120" spans="1:7" x14ac:dyDescent="0.25">
      <c r="A120" s="69">
        <f>'RAW IMPORT'!A110</f>
        <v>0</v>
      </c>
      <c r="B120" s="70">
        <f>'RAW IMPORT'!B110</f>
        <v>0</v>
      </c>
      <c r="C120" s="72">
        <f>'RAW IMPORT'!C110</f>
        <v>0</v>
      </c>
      <c r="D120" s="82">
        <f>'RAW IMPORT'!D110</f>
        <v>0</v>
      </c>
      <c r="E120" s="82">
        <f>'RAW IMPORT'!E110</f>
        <v>0</v>
      </c>
      <c r="F120" s="104"/>
      <c r="G120" s="68"/>
    </row>
    <row r="121" spans="1:7" x14ac:dyDescent="0.25">
      <c r="A121" s="69">
        <f>'RAW IMPORT'!A111</f>
        <v>0</v>
      </c>
      <c r="B121" s="70">
        <f>'RAW IMPORT'!B111</f>
        <v>0</v>
      </c>
      <c r="C121" s="72">
        <f>'RAW IMPORT'!C111</f>
        <v>0</v>
      </c>
      <c r="D121" s="82">
        <f>'RAW IMPORT'!D111</f>
        <v>0</v>
      </c>
      <c r="E121" s="82">
        <f>'RAW IMPORT'!E111</f>
        <v>0</v>
      </c>
      <c r="F121" s="104"/>
      <c r="G121" s="68"/>
    </row>
    <row r="122" spans="1:7" ht="14.4" thickBot="1" x14ac:dyDescent="0.3">
      <c r="A122" s="98">
        <f>'RAW IMPORT'!A112</f>
        <v>0</v>
      </c>
      <c r="B122" s="99">
        <f>'RAW IMPORT'!B112</f>
        <v>0</v>
      </c>
      <c r="C122" s="100">
        <f>'RAW IMPORT'!C112</f>
        <v>0</v>
      </c>
      <c r="D122" s="120">
        <f>'RAW IMPORT'!D112</f>
        <v>0</v>
      </c>
      <c r="E122" s="91">
        <f>'RAW IMPORT'!E112</f>
        <v>0</v>
      </c>
      <c r="F122" s="104"/>
      <c r="G122" s="68"/>
    </row>
    <row r="123" spans="1:7" ht="14.4" thickTop="1" x14ac:dyDescent="0.25">
      <c r="A123" s="102"/>
      <c r="B123" s="102"/>
      <c r="C123" s="103"/>
      <c r="D123" s="103"/>
      <c r="E123" s="103"/>
    </row>
    <row r="124" spans="1:7" x14ac:dyDescent="0.25">
      <c r="A124" s="68"/>
      <c r="B124" s="68"/>
      <c r="C124" s="92"/>
      <c r="D124" s="119"/>
      <c r="E124" s="92"/>
      <c r="F124" s="68"/>
      <c r="G124" s="68"/>
    </row>
    <row r="125" spans="1:7" x14ac:dyDescent="0.25">
      <c r="A125" s="68"/>
      <c r="B125" s="68"/>
      <c r="C125" s="92"/>
      <c r="D125" s="119"/>
      <c r="E125" s="92"/>
      <c r="F125" s="68"/>
      <c r="G125" s="68"/>
    </row>
    <row r="126" spans="1:7" x14ac:dyDescent="0.25">
      <c r="A126" s="68"/>
      <c r="B126" s="68"/>
      <c r="C126" s="92"/>
      <c r="D126" s="119"/>
      <c r="E126" s="92"/>
      <c r="F126" s="68"/>
      <c r="G126" s="68"/>
    </row>
    <row r="127" spans="1:7" x14ac:dyDescent="0.25">
      <c r="A127" s="68"/>
      <c r="B127" s="68"/>
      <c r="C127" s="92"/>
      <c r="D127" s="119"/>
      <c r="E127" s="92"/>
      <c r="F127" s="68"/>
      <c r="G127" s="68"/>
    </row>
    <row r="128" spans="1:7" x14ac:dyDescent="0.25">
      <c r="A128" s="68"/>
      <c r="B128" s="68"/>
      <c r="C128" s="92"/>
      <c r="D128" s="119"/>
      <c r="E128" s="92"/>
      <c r="F128" s="68"/>
      <c r="G128" s="68"/>
    </row>
    <row r="129" spans="1:7" x14ac:dyDescent="0.25">
      <c r="A129" s="67"/>
      <c r="B129" s="68"/>
      <c r="C129" s="92"/>
      <c r="D129" s="119"/>
      <c r="E129" s="92"/>
      <c r="F129" s="68"/>
      <c r="G129" s="68"/>
    </row>
    <row r="130" spans="1:7" x14ac:dyDescent="0.25">
      <c r="A130" s="67"/>
      <c r="B130" s="68"/>
      <c r="C130" s="92"/>
      <c r="D130" s="119"/>
      <c r="E130" s="92"/>
      <c r="F130" s="68"/>
      <c r="G130" s="68"/>
    </row>
    <row r="131" spans="1:7" x14ac:dyDescent="0.25">
      <c r="A131" s="67"/>
      <c r="B131" s="68"/>
      <c r="C131" s="92"/>
      <c r="D131" s="119"/>
      <c r="E131" s="92"/>
      <c r="F131" s="68"/>
      <c r="G131" s="68"/>
    </row>
    <row r="132" spans="1:7" x14ac:dyDescent="0.25">
      <c r="A132" s="67"/>
      <c r="B132" s="68"/>
      <c r="C132" s="92"/>
      <c r="D132" s="119"/>
      <c r="E132" s="92"/>
      <c r="F132" s="68"/>
      <c r="G132" s="68"/>
    </row>
    <row r="133" spans="1:7" x14ac:dyDescent="0.25">
      <c r="A133" s="67"/>
      <c r="B133" s="68"/>
      <c r="C133" s="92"/>
      <c r="D133" s="119"/>
      <c r="E133" s="92"/>
      <c r="F133" s="68"/>
      <c r="G133" s="68"/>
    </row>
    <row r="134" spans="1:7" x14ac:dyDescent="0.25">
      <c r="A134" s="67"/>
      <c r="B134" s="68"/>
      <c r="C134" s="92"/>
      <c r="D134" s="119"/>
      <c r="E134" s="92"/>
      <c r="F134" s="68"/>
      <c r="G134" s="68"/>
    </row>
    <row r="135" spans="1:7" x14ac:dyDescent="0.25">
      <c r="A135" s="67"/>
      <c r="B135" s="68"/>
      <c r="C135" s="92"/>
      <c r="D135" s="119"/>
      <c r="E135" s="92"/>
      <c r="F135" s="68"/>
      <c r="G135" s="68"/>
    </row>
    <row r="136" spans="1:7" x14ac:dyDescent="0.25">
      <c r="A136" s="67"/>
      <c r="B136" s="68"/>
      <c r="C136" s="92"/>
      <c r="D136" s="119"/>
      <c r="E136" s="92"/>
      <c r="F136" s="68"/>
      <c r="G136" s="68"/>
    </row>
    <row r="137" spans="1:7" x14ac:dyDescent="0.25">
      <c r="A137" s="67"/>
      <c r="B137" s="68"/>
      <c r="C137" s="92"/>
      <c r="D137" s="119"/>
      <c r="E137" s="92"/>
      <c r="F137" s="68"/>
      <c r="G137" s="68"/>
    </row>
    <row r="138" spans="1:7" x14ac:dyDescent="0.25">
      <c r="A138" s="67"/>
      <c r="B138" s="68"/>
      <c r="C138" s="92"/>
      <c r="D138" s="119"/>
      <c r="E138" s="92"/>
      <c r="F138" s="68"/>
      <c r="G138" s="68"/>
    </row>
    <row r="139" spans="1:7" x14ac:dyDescent="0.25">
      <c r="A139" s="67"/>
      <c r="B139" s="68"/>
      <c r="C139" s="92"/>
      <c r="D139" s="119"/>
      <c r="E139" s="92"/>
      <c r="F139" s="68"/>
      <c r="G139" s="68"/>
    </row>
    <row r="140" spans="1:7" x14ac:dyDescent="0.25">
      <c r="A140" s="67"/>
      <c r="B140" s="68"/>
      <c r="C140" s="92"/>
      <c r="D140" s="119"/>
      <c r="E140" s="92"/>
      <c r="F140" s="68"/>
      <c r="G140" s="68"/>
    </row>
    <row r="141" spans="1:7" x14ac:dyDescent="0.25">
      <c r="A141" s="67"/>
      <c r="B141" s="68"/>
      <c r="C141" s="92"/>
      <c r="D141" s="119"/>
      <c r="E141" s="92"/>
      <c r="F141" s="68"/>
      <c r="G141" s="68"/>
    </row>
    <row r="142" spans="1:7" x14ac:dyDescent="0.25">
      <c r="A142" s="67"/>
      <c r="B142" s="68"/>
      <c r="C142" s="92"/>
      <c r="D142" s="119"/>
      <c r="E142" s="92"/>
      <c r="F142" s="68"/>
      <c r="G142" s="68"/>
    </row>
    <row r="143" spans="1:7" x14ac:dyDescent="0.25">
      <c r="A143" s="67"/>
      <c r="B143" s="68"/>
      <c r="C143" s="92"/>
      <c r="D143" s="119"/>
      <c r="E143" s="92"/>
      <c r="F143" s="68"/>
      <c r="G143" s="68"/>
    </row>
    <row r="144" spans="1:7" x14ac:dyDescent="0.25">
      <c r="A144" s="67"/>
      <c r="B144" s="68"/>
      <c r="C144" s="92"/>
      <c r="D144" s="119"/>
      <c r="E144" s="92"/>
      <c r="F144" s="68"/>
      <c r="G144" s="68"/>
    </row>
    <row r="145" spans="1:7" x14ac:dyDescent="0.25">
      <c r="A145" s="67"/>
      <c r="B145" s="68"/>
      <c r="C145" s="92"/>
      <c r="D145" s="119"/>
      <c r="E145" s="92"/>
      <c r="F145" s="68"/>
      <c r="G145" s="68"/>
    </row>
    <row r="146" spans="1:7" x14ac:dyDescent="0.25">
      <c r="A146" s="67"/>
      <c r="B146" s="68"/>
      <c r="C146" s="92"/>
      <c r="D146" s="119"/>
      <c r="E146" s="92"/>
      <c r="F146" s="68"/>
      <c r="G146" s="68"/>
    </row>
    <row r="147" spans="1:7" x14ac:dyDescent="0.25">
      <c r="A147" s="67"/>
      <c r="B147" s="68"/>
      <c r="C147" s="92"/>
      <c r="D147" s="119"/>
      <c r="E147" s="92"/>
      <c r="F147" s="68"/>
      <c r="G147" s="68"/>
    </row>
    <row r="148" spans="1:7" x14ac:dyDescent="0.25">
      <c r="A148" s="67"/>
      <c r="B148" s="68"/>
      <c r="C148" s="92"/>
      <c r="D148" s="119"/>
      <c r="E148" s="92"/>
      <c r="F148" s="68"/>
      <c r="G148" s="68"/>
    </row>
    <row r="149" spans="1:7" x14ac:dyDescent="0.25">
      <c r="A149" s="67"/>
      <c r="B149" s="68"/>
      <c r="C149" s="92"/>
      <c r="D149" s="119"/>
      <c r="E149" s="92"/>
      <c r="F149" s="68"/>
      <c r="G149" s="68"/>
    </row>
    <row r="150" spans="1:7" x14ac:dyDescent="0.25">
      <c r="A150" s="67"/>
      <c r="B150" s="68"/>
      <c r="C150" s="92"/>
      <c r="D150" s="119"/>
      <c r="E150" s="92"/>
      <c r="F150" s="68"/>
      <c r="G150" s="68"/>
    </row>
    <row r="151" spans="1:7" x14ac:dyDescent="0.25">
      <c r="A151" s="67"/>
      <c r="B151" s="68"/>
      <c r="C151" s="92"/>
      <c r="D151" s="119"/>
      <c r="E151" s="92"/>
      <c r="F151" s="68"/>
      <c r="G151" s="68"/>
    </row>
    <row r="152" spans="1:7" x14ac:dyDescent="0.25">
      <c r="A152" s="67"/>
      <c r="B152" s="68"/>
      <c r="C152" s="92"/>
      <c r="D152" s="119"/>
      <c r="E152" s="92"/>
      <c r="F152" s="68"/>
      <c r="G152" s="68"/>
    </row>
    <row r="153" spans="1:7" x14ac:dyDescent="0.25">
      <c r="A153" s="67"/>
      <c r="B153" s="68"/>
      <c r="C153" s="92"/>
      <c r="D153" s="119"/>
      <c r="E153" s="92"/>
      <c r="F153" s="68"/>
      <c r="G153" s="68"/>
    </row>
    <row r="154" spans="1:7" x14ac:dyDescent="0.25">
      <c r="A154" s="67"/>
      <c r="B154" s="68"/>
      <c r="C154" s="92"/>
      <c r="D154" s="119"/>
      <c r="E154" s="92"/>
      <c r="F154" s="68"/>
      <c r="G154" s="68"/>
    </row>
    <row r="155" spans="1:7" x14ac:dyDescent="0.25">
      <c r="A155" s="67"/>
      <c r="B155" s="68"/>
      <c r="C155" s="92"/>
      <c r="D155" s="119"/>
      <c r="E155" s="92"/>
      <c r="F155" s="68"/>
      <c r="G155" s="68"/>
    </row>
    <row r="156" spans="1:7" x14ac:dyDescent="0.25">
      <c r="A156" s="67"/>
      <c r="B156" s="68"/>
      <c r="C156" s="92"/>
      <c r="D156" s="119"/>
      <c r="E156" s="92"/>
      <c r="F156" s="68"/>
      <c r="G156" s="68"/>
    </row>
    <row r="157" spans="1:7" x14ac:dyDescent="0.25">
      <c r="A157" s="67"/>
      <c r="B157" s="68"/>
      <c r="C157" s="92"/>
      <c r="D157" s="119"/>
      <c r="E157" s="92"/>
      <c r="F157" s="68"/>
      <c r="G157" s="68"/>
    </row>
    <row r="158" spans="1:7" x14ac:dyDescent="0.25">
      <c r="A158" s="67"/>
      <c r="B158" s="68"/>
      <c r="C158" s="92"/>
      <c r="D158" s="119"/>
      <c r="E158" s="92"/>
      <c r="F158" s="68"/>
      <c r="G158" s="68"/>
    </row>
    <row r="159" spans="1:7" x14ac:dyDescent="0.25">
      <c r="A159" s="67"/>
      <c r="B159" s="68"/>
      <c r="C159" s="92"/>
      <c r="D159" s="119"/>
      <c r="E159" s="92"/>
      <c r="F159" s="68"/>
      <c r="G159" s="68"/>
    </row>
    <row r="160" spans="1:7" x14ac:dyDescent="0.25">
      <c r="A160" s="67"/>
      <c r="B160" s="68"/>
      <c r="C160" s="92"/>
      <c r="D160" s="119"/>
      <c r="E160" s="92"/>
      <c r="F160" s="68"/>
      <c r="G160" s="68"/>
    </row>
    <row r="161" spans="1:7" x14ac:dyDescent="0.25">
      <c r="A161" s="67"/>
      <c r="B161" s="68"/>
      <c r="C161" s="92"/>
      <c r="D161" s="119"/>
      <c r="E161" s="92"/>
      <c r="F161" s="68"/>
      <c r="G161" s="68"/>
    </row>
    <row r="162" spans="1:7" x14ac:dyDescent="0.25">
      <c r="A162" s="67"/>
      <c r="B162" s="68"/>
      <c r="C162" s="92"/>
      <c r="D162" s="119"/>
      <c r="E162" s="92"/>
      <c r="F162" s="68"/>
      <c r="G162" s="68"/>
    </row>
    <row r="163" spans="1:7" x14ac:dyDescent="0.25">
      <c r="A163" s="67"/>
      <c r="B163" s="68"/>
      <c r="C163" s="92"/>
      <c r="D163" s="119"/>
      <c r="E163" s="92"/>
      <c r="F163" s="68"/>
      <c r="G163" s="68"/>
    </row>
    <row r="164" spans="1:7" x14ac:dyDescent="0.25">
      <c r="A164" s="67"/>
      <c r="B164" s="68"/>
      <c r="C164" s="92"/>
      <c r="D164" s="119"/>
      <c r="E164" s="92"/>
      <c r="F164" s="68"/>
      <c r="G164" s="68"/>
    </row>
    <row r="165" spans="1:7" x14ac:dyDescent="0.25">
      <c r="A165" s="67"/>
      <c r="B165" s="68"/>
      <c r="C165" s="92"/>
      <c r="D165" s="119"/>
      <c r="E165" s="92"/>
      <c r="F165" s="68"/>
      <c r="G165" s="68"/>
    </row>
    <row r="166" spans="1:7" x14ac:dyDescent="0.25">
      <c r="A166" s="67"/>
      <c r="B166" s="68"/>
      <c r="C166" s="92"/>
      <c r="D166" s="119"/>
      <c r="E166" s="92"/>
      <c r="F166" s="68"/>
      <c r="G166" s="68"/>
    </row>
    <row r="167" spans="1:7" x14ac:dyDescent="0.25">
      <c r="A167" s="67"/>
      <c r="B167" s="68"/>
      <c r="C167" s="92"/>
      <c r="D167" s="119"/>
      <c r="E167" s="92"/>
      <c r="F167" s="68"/>
      <c r="G167" s="68"/>
    </row>
    <row r="168" spans="1:7" x14ac:dyDescent="0.25">
      <c r="A168" s="67"/>
      <c r="B168" s="68"/>
      <c r="C168" s="92"/>
      <c r="D168" s="119"/>
      <c r="E168" s="92"/>
      <c r="F168" s="68"/>
      <c r="G168" s="68"/>
    </row>
    <row r="169" spans="1:7" x14ac:dyDescent="0.25">
      <c r="A169" s="67"/>
      <c r="B169" s="68"/>
      <c r="C169" s="92"/>
      <c r="D169" s="119"/>
      <c r="E169" s="92"/>
      <c r="F169" s="68"/>
      <c r="G169" s="68"/>
    </row>
    <row r="170" spans="1:7" x14ac:dyDescent="0.25">
      <c r="A170" s="67"/>
      <c r="B170" s="68"/>
      <c r="C170" s="92"/>
      <c r="D170" s="119"/>
      <c r="E170" s="92"/>
      <c r="F170" s="68"/>
      <c r="G170" s="68"/>
    </row>
    <row r="171" spans="1:7" x14ac:dyDescent="0.25">
      <c r="A171" s="67"/>
      <c r="B171" s="68"/>
      <c r="C171" s="92"/>
      <c r="D171" s="119"/>
      <c r="E171" s="92"/>
      <c r="F171" s="68"/>
      <c r="G171" s="68"/>
    </row>
    <row r="172" spans="1:7" x14ac:dyDescent="0.25">
      <c r="A172" s="67"/>
      <c r="B172" s="68"/>
      <c r="C172" s="92"/>
      <c r="D172" s="119"/>
      <c r="E172" s="92"/>
      <c r="F172" s="68"/>
      <c r="G172" s="68"/>
    </row>
    <row r="173" spans="1:7" x14ac:dyDescent="0.25">
      <c r="A173" s="67"/>
      <c r="B173" s="68"/>
      <c r="C173" s="92"/>
      <c r="D173" s="119"/>
      <c r="E173" s="92"/>
      <c r="F173" s="68"/>
      <c r="G173" s="68"/>
    </row>
    <row r="174" spans="1:7" x14ac:dyDescent="0.25">
      <c r="A174" s="67"/>
      <c r="B174" s="68"/>
      <c r="C174" s="92"/>
      <c r="D174" s="119"/>
      <c r="E174" s="92"/>
      <c r="F174" s="68"/>
      <c r="G174" s="68"/>
    </row>
    <row r="175" spans="1:7" x14ac:dyDescent="0.25">
      <c r="A175" s="67"/>
      <c r="B175" s="68"/>
      <c r="C175" s="92"/>
      <c r="D175" s="119"/>
      <c r="E175" s="92"/>
      <c r="F175" s="68"/>
      <c r="G175" s="68"/>
    </row>
    <row r="176" spans="1:7" x14ac:dyDescent="0.25">
      <c r="A176" s="67"/>
      <c r="B176" s="68"/>
      <c r="C176" s="92"/>
      <c r="D176" s="119"/>
      <c r="E176" s="92"/>
      <c r="F176" s="68"/>
      <c r="G176" s="68"/>
    </row>
    <row r="177" spans="1:7" x14ac:dyDescent="0.25">
      <c r="A177" s="67"/>
      <c r="B177" s="68"/>
      <c r="C177" s="92"/>
      <c r="D177" s="119"/>
      <c r="E177" s="92"/>
      <c r="F177" s="68"/>
      <c r="G177" s="68"/>
    </row>
    <row r="178" spans="1:7" x14ac:dyDescent="0.25">
      <c r="A178" s="67"/>
      <c r="B178" s="68"/>
      <c r="C178" s="92"/>
      <c r="D178" s="119"/>
      <c r="E178" s="92"/>
      <c r="F178" s="68"/>
      <c r="G178" s="68"/>
    </row>
    <row r="179" spans="1:7" x14ac:dyDescent="0.25">
      <c r="A179" s="67"/>
      <c r="B179" s="68"/>
      <c r="C179" s="92"/>
      <c r="D179" s="119"/>
      <c r="E179" s="92"/>
      <c r="F179" s="68"/>
      <c r="G179" s="68"/>
    </row>
    <row r="180" spans="1:7" x14ac:dyDescent="0.25">
      <c r="A180" s="67"/>
      <c r="B180" s="68"/>
      <c r="C180" s="92"/>
      <c r="D180" s="119"/>
      <c r="E180" s="92"/>
      <c r="F180" s="68"/>
      <c r="G180" s="68"/>
    </row>
    <row r="181" spans="1:7" x14ac:dyDescent="0.25">
      <c r="A181" s="67"/>
      <c r="B181" s="68"/>
      <c r="C181" s="92"/>
      <c r="D181" s="119"/>
      <c r="E181" s="92"/>
      <c r="F181" s="68"/>
      <c r="G181" s="68"/>
    </row>
    <row r="182" spans="1:7" x14ac:dyDescent="0.25">
      <c r="A182" s="67"/>
      <c r="B182" s="68"/>
      <c r="C182" s="92"/>
      <c r="D182" s="119"/>
      <c r="E182" s="92"/>
      <c r="F182" s="68"/>
      <c r="G182" s="68"/>
    </row>
    <row r="183" spans="1:7" x14ac:dyDescent="0.25">
      <c r="A183" s="67"/>
      <c r="B183" s="68"/>
      <c r="C183" s="92"/>
      <c r="D183" s="119"/>
      <c r="E183" s="92"/>
      <c r="F183" s="68"/>
      <c r="G183" s="68"/>
    </row>
    <row r="184" spans="1:7" x14ac:dyDescent="0.25">
      <c r="A184" s="67"/>
      <c r="B184" s="68"/>
      <c r="C184" s="92"/>
      <c r="D184" s="119"/>
      <c r="E184" s="92"/>
      <c r="F184" s="68"/>
      <c r="G184" s="68"/>
    </row>
    <row r="185" spans="1:7" x14ac:dyDescent="0.25">
      <c r="A185" s="67"/>
      <c r="B185" s="68"/>
      <c r="C185" s="92"/>
      <c r="D185" s="119"/>
      <c r="E185" s="92"/>
      <c r="F185" s="68"/>
      <c r="G185" s="68"/>
    </row>
    <row r="186" spans="1:7" x14ac:dyDescent="0.25">
      <c r="A186" s="67"/>
      <c r="B186" s="68"/>
      <c r="C186" s="92"/>
      <c r="D186" s="119"/>
      <c r="E186" s="92"/>
      <c r="F186" s="68"/>
      <c r="G186" s="68"/>
    </row>
    <row r="187" spans="1:7" x14ac:dyDescent="0.25">
      <c r="A187" s="67"/>
      <c r="B187" s="68"/>
      <c r="C187" s="92"/>
      <c r="D187" s="119"/>
      <c r="E187" s="92"/>
      <c r="F187" s="68"/>
      <c r="G187" s="68"/>
    </row>
    <row r="188" spans="1:7" x14ac:dyDescent="0.25">
      <c r="A188" s="67"/>
      <c r="B188" s="68"/>
      <c r="C188" s="92"/>
      <c r="D188" s="119"/>
      <c r="E188" s="92"/>
      <c r="F188" s="68"/>
      <c r="G188" s="68"/>
    </row>
    <row r="189" spans="1:7" x14ac:dyDescent="0.25">
      <c r="A189" s="67"/>
      <c r="B189" s="68"/>
      <c r="C189" s="92"/>
      <c r="D189" s="119"/>
      <c r="E189" s="92"/>
      <c r="F189" s="68"/>
      <c r="G189" s="68"/>
    </row>
    <row r="190" spans="1:7" x14ac:dyDescent="0.25">
      <c r="A190" s="67"/>
      <c r="B190" s="68"/>
      <c r="C190" s="92"/>
      <c r="D190" s="119"/>
      <c r="E190" s="92"/>
      <c r="F190" s="68"/>
      <c r="G190" s="68"/>
    </row>
    <row r="191" spans="1:7" x14ac:dyDescent="0.25">
      <c r="A191" s="67"/>
      <c r="B191" s="68"/>
      <c r="C191" s="92"/>
      <c r="D191" s="119"/>
      <c r="E191" s="92"/>
      <c r="F191" s="68"/>
      <c r="G191" s="68"/>
    </row>
    <row r="192" spans="1:7" x14ac:dyDescent="0.25">
      <c r="A192" s="67"/>
      <c r="B192" s="68"/>
      <c r="C192" s="92"/>
      <c r="D192" s="119"/>
      <c r="E192" s="92"/>
      <c r="F192" s="68"/>
      <c r="G192" s="68"/>
    </row>
    <row r="193" spans="1:7" x14ac:dyDescent="0.25">
      <c r="A193" s="67"/>
      <c r="B193" s="68"/>
      <c r="C193" s="92"/>
      <c r="D193" s="119"/>
      <c r="E193" s="92"/>
      <c r="F193" s="68"/>
      <c r="G193" s="68"/>
    </row>
    <row r="194" spans="1:7" x14ac:dyDescent="0.25">
      <c r="A194" s="67"/>
      <c r="B194" s="68"/>
      <c r="C194" s="92"/>
      <c r="D194" s="119"/>
      <c r="E194" s="92"/>
      <c r="F194" s="68"/>
      <c r="G194" s="68"/>
    </row>
    <row r="195" spans="1:7" x14ac:dyDescent="0.25">
      <c r="A195" s="67"/>
      <c r="B195" s="68"/>
      <c r="C195" s="92"/>
      <c r="D195" s="119"/>
      <c r="E195" s="92"/>
      <c r="F195" s="68"/>
      <c r="G195" s="68"/>
    </row>
    <row r="196" spans="1:7" x14ac:dyDescent="0.25">
      <c r="A196" s="67"/>
      <c r="B196" s="68"/>
      <c r="C196" s="92"/>
      <c r="D196" s="119"/>
      <c r="E196" s="92"/>
      <c r="F196" s="68"/>
      <c r="G196" s="68"/>
    </row>
    <row r="197" spans="1:7" x14ac:dyDescent="0.25">
      <c r="A197" s="67"/>
      <c r="B197" s="68"/>
      <c r="C197" s="92"/>
      <c r="D197" s="119"/>
      <c r="E197" s="92"/>
      <c r="F197" s="68"/>
      <c r="G197" s="68"/>
    </row>
    <row r="198" spans="1:7" x14ac:dyDescent="0.25">
      <c r="A198" s="67"/>
      <c r="B198" s="68"/>
      <c r="C198" s="92"/>
      <c r="D198" s="119"/>
      <c r="E198" s="92"/>
      <c r="F198" s="68"/>
      <c r="G198" s="68"/>
    </row>
    <row r="199" spans="1:7" x14ac:dyDescent="0.25">
      <c r="A199" s="67"/>
      <c r="B199" s="68"/>
      <c r="C199" s="92"/>
      <c r="D199" s="119"/>
      <c r="E199" s="92"/>
      <c r="F199" s="68"/>
      <c r="G199" s="68"/>
    </row>
    <row r="200" spans="1:7" x14ac:dyDescent="0.25">
      <c r="A200" s="67"/>
      <c r="B200" s="68"/>
      <c r="C200" s="92"/>
      <c r="D200" s="119"/>
      <c r="E200" s="92"/>
      <c r="F200" s="68"/>
      <c r="G200" s="68"/>
    </row>
    <row r="201" spans="1:7" x14ac:dyDescent="0.25">
      <c r="A201" s="67"/>
      <c r="B201" s="68"/>
      <c r="C201" s="92"/>
      <c r="D201" s="119"/>
      <c r="E201" s="92"/>
      <c r="F201" s="68"/>
      <c r="G201" s="68"/>
    </row>
    <row r="202" spans="1:7" x14ac:dyDescent="0.25">
      <c r="A202" s="67"/>
      <c r="B202" s="68"/>
      <c r="C202" s="92"/>
      <c r="D202" s="119"/>
      <c r="E202" s="92"/>
      <c r="F202" s="68"/>
      <c r="G202" s="68"/>
    </row>
    <row r="203" spans="1:7" x14ac:dyDescent="0.25">
      <c r="A203" s="67"/>
      <c r="B203" s="68"/>
      <c r="C203" s="92"/>
      <c r="D203" s="119"/>
      <c r="E203" s="92"/>
      <c r="F203" s="68"/>
      <c r="G203" s="68"/>
    </row>
    <row r="204" spans="1:7" x14ac:dyDescent="0.25">
      <c r="A204" s="101"/>
      <c r="B204" s="70"/>
      <c r="C204" s="71"/>
      <c r="D204" s="71"/>
      <c r="E204" s="101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/>
      <selection activeCell="A2" sqref="A2"/>
      <selection pane="bottomLeft" activeCell="B19" sqref="B19"/>
    </sheetView>
  </sheetViews>
  <sheetFormatPr baseColWidth="10" defaultColWidth="11.44140625" defaultRowHeight="13.8" x14ac:dyDescent="0.25"/>
  <cols>
    <col min="1" max="1" width="24.44140625" style="76" bestFit="1" customWidth="1"/>
    <col min="2" max="2" width="27.109375" style="74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6" t="s">
        <v>95</v>
      </c>
      <c r="B1" s="257"/>
      <c r="C1" s="130" t="s">
        <v>142</v>
      </c>
      <c r="D1" s="138" t="s">
        <v>188</v>
      </c>
      <c r="E1" s="138"/>
    </row>
    <row r="2" spans="1:9" ht="15.75" customHeight="1" thickBot="1" x14ac:dyDescent="0.3">
      <c r="A2" s="80" t="s">
        <v>281</v>
      </c>
      <c r="B2" s="81" t="s">
        <v>187</v>
      </c>
      <c r="C2" s="131"/>
      <c r="D2" s="132"/>
      <c r="E2" s="132"/>
    </row>
    <row r="3" spans="1:9" s="73" customFormat="1" ht="14.4" thickTop="1" x14ac:dyDescent="0.25">
      <c r="A3" s="69" t="s">
        <v>190</v>
      </c>
      <c r="B3" s="70" t="s">
        <v>179</v>
      </c>
      <c r="C3" s="133">
        <v>1.4999999999999999E-2</v>
      </c>
      <c r="D3" s="88">
        <v>-1</v>
      </c>
      <c r="E3" s="88"/>
    </row>
    <row r="4" spans="1:9" x14ac:dyDescent="0.25">
      <c r="A4" s="142"/>
      <c r="D4" s="88"/>
      <c r="E4" s="88"/>
      <c r="I4" s="83"/>
    </row>
    <row r="5" spans="1:9" x14ac:dyDescent="0.25">
      <c r="A5" s="142"/>
      <c r="D5" s="88"/>
      <c r="E5" s="88"/>
      <c r="I5" s="83"/>
    </row>
    <row r="6" spans="1:9" x14ac:dyDescent="0.25">
      <c r="A6" s="69"/>
      <c r="D6" s="88"/>
      <c r="E6" s="88"/>
      <c r="I6" s="83"/>
    </row>
    <row r="7" spans="1:9" x14ac:dyDescent="0.25">
      <c r="A7" s="69"/>
      <c r="D7" s="88"/>
      <c r="E7" s="88"/>
      <c r="I7" s="83"/>
    </row>
    <row r="8" spans="1:9" x14ac:dyDescent="0.25">
      <c r="A8" s="69"/>
      <c r="D8" s="88"/>
      <c r="E8" s="88"/>
      <c r="I8" s="83"/>
    </row>
    <row r="9" spans="1:9" x14ac:dyDescent="0.25">
      <c r="A9" s="69"/>
      <c r="D9" s="88"/>
      <c r="E9" s="88"/>
      <c r="I9" s="83"/>
    </row>
    <row r="10" spans="1:9" x14ac:dyDescent="0.25">
      <c r="A10" s="69"/>
      <c r="D10" s="88"/>
      <c r="E10" s="88"/>
      <c r="I10" s="83"/>
    </row>
    <row r="11" spans="1:9" x14ac:dyDescent="0.25">
      <c r="A11" s="69"/>
      <c r="D11" s="88"/>
      <c r="E11" s="88"/>
      <c r="I11" s="83"/>
    </row>
    <row r="12" spans="1:9" x14ac:dyDescent="0.25">
      <c r="A12" s="69"/>
      <c r="D12" s="88"/>
      <c r="E12" s="88"/>
      <c r="I12" s="83"/>
    </row>
    <row r="13" spans="1:9" x14ac:dyDescent="0.25">
      <c r="A13" s="69"/>
      <c r="D13" s="88"/>
      <c r="E13" s="88"/>
      <c r="I13" s="83"/>
    </row>
    <row r="14" spans="1:9" x14ac:dyDescent="0.25">
      <c r="A14" s="69"/>
      <c r="D14" s="88"/>
      <c r="E14" s="88"/>
      <c r="I14" s="83"/>
    </row>
    <row r="15" spans="1:9" x14ac:dyDescent="0.25">
      <c r="A15" s="69"/>
      <c r="D15" s="88"/>
      <c r="E15" s="88"/>
      <c r="I15" s="83"/>
    </row>
    <row r="16" spans="1:9" x14ac:dyDescent="0.25">
      <c r="A16" s="88"/>
      <c r="B16" s="87"/>
      <c r="D16" s="88"/>
      <c r="E16" s="88"/>
      <c r="I16" s="83"/>
    </row>
    <row r="17" spans="1:9" x14ac:dyDescent="0.25">
      <c r="A17" s="69"/>
      <c r="D17" s="88"/>
      <c r="E17" s="88"/>
      <c r="I17" s="83"/>
    </row>
    <row r="18" spans="1:9" x14ac:dyDescent="0.25">
      <c r="A18" s="69"/>
      <c r="D18" s="88"/>
      <c r="E18" s="88"/>
      <c r="I18" s="83"/>
    </row>
    <row r="19" spans="1:9" x14ac:dyDescent="0.25">
      <c r="A19" s="69"/>
      <c r="D19" s="88"/>
      <c r="E19" s="88"/>
      <c r="I19" s="83"/>
    </row>
    <row r="20" spans="1:9" x14ac:dyDescent="0.25">
      <c r="A20" s="69"/>
      <c r="D20" s="88"/>
      <c r="E20" s="88"/>
      <c r="I20" s="83"/>
    </row>
    <row r="21" spans="1:9" x14ac:dyDescent="0.25">
      <c r="A21" s="69"/>
      <c r="D21" s="88"/>
      <c r="E21" s="88"/>
      <c r="I21" s="83"/>
    </row>
    <row r="22" spans="1:9" x14ac:dyDescent="0.25">
      <c r="A22" s="69"/>
      <c r="D22" s="88"/>
      <c r="E22" s="88"/>
      <c r="I22" s="83"/>
    </row>
    <row r="23" spans="1:9" x14ac:dyDescent="0.25">
      <c r="A23" s="69"/>
      <c r="D23" s="88"/>
      <c r="E23" s="88"/>
      <c r="I23" s="83"/>
    </row>
    <row r="24" spans="1:9" x14ac:dyDescent="0.25">
      <c r="A24" s="69"/>
      <c r="D24" s="88"/>
      <c r="E24" s="88"/>
      <c r="I24" s="83"/>
    </row>
    <row r="25" spans="1:9" x14ac:dyDescent="0.25">
      <c r="A25" s="69"/>
      <c r="D25" s="88"/>
      <c r="E25" s="88"/>
      <c r="I25" s="83"/>
    </row>
    <row r="26" spans="1:9" x14ac:dyDescent="0.25">
      <c r="A26" s="69"/>
      <c r="D26" s="88"/>
      <c r="E26" s="88"/>
      <c r="I26" s="83"/>
    </row>
    <row r="27" spans="1:9" x14ac:dyDescent="0.25">
      <c r="A27" s="69"/>
      <c r="D27" s="88"/>
      <c r="E27" s="88"/>
      <c r="I27" s="83"/>
    </row>
    <row r="28" spans="1:9" x14ac:dyDescent="0.25">
      <c r="A28" s="69"/>
      <c r="D28" s="88"/>
      <c r="E28" s="88"/>
      <c r="I28" s="83"/>
    </row>
    <row r="29" spans="1:9" x14ac:dyDescent="0.25">
      <c r="A29" s="69"/>
      <c r="D29" s="88"/>
      <c r="E29" s="88"/>
      <c r="I29" s="83"/>
    </row>
    <row r="30" spans="1:9" x14ac:dyDescent="0.25">
      <c r="A30" s="69"/>
      <c r="D30" s="88"/>
      <c r="E30" s="88"/>
      <c r="I30" s="83"/>
    </row>
    <row r="31" spans="1:9" x14ac:dyDescent="0.25">
      <c r="A31" s="69"/>
      <c r="D31" s="88"/>
      <c r="E31" s="88"/>
      <c r="I31" s="83"/>
    </row>
    <row r="32" spans="1:9" x14ac:dyDescent="0.25">
      <c r="A32" s="69"/>
      <c r="D32" s="88"/>
      <c r="E32" s="88"/>
      <c r="I32" s="83"/>
    </row>
    <row r="33" spans="1:9" x14ac:dyDescent="0.25">
      <c r="A33" s="69"/>
      <c r="D33" s="88"/>
      <c r="E33" s="88"/>
      <c r="I33" s="83"/>
    </row>
    <row r="34" spans="1:9" x14ac:dyDescent="0.25">
      <c r="A34" s="69"/>
      <c r="D34" s="88"/>
      <c r="E34" s="88"/>
      <c r="I34" s="83"/>
    </row>
    <row r="35" spans="1:9" x14ac:dyDescent="0.25">
      <c r="A35" s="69"/>
      <c r="D35" s="88"/>
      <c r="E35" s="88"/>
      <c r="I35" s="83"/>
    </row>
    <row r="36" spans="1:9" x14ac:dyDescent="0.25">
      <c r="A36" s="69"/>
      <c r="D36" s="88"/>
      <c r="E36" s="88"/>
      <c r="I36" s="83"/>
    </row>
    <row r="37" spans="1:9" x14ac:dyDescent="0.25">
      <c r="A37" s="69"/>
      <c r="D37" s="88"/>
      <c r="E37" s="88"/>
      <c r="I37" s="83"/>
    </row>
    <row r="38" spans="1:9" x14ac:dyDescent="0.25">
      <c r="A38" s="69"/>
      <c r="D38" s="88"/>
      <c r="E38" s="88"/>
      <c r="I38" s="83"/>
    </row>
    <row r="39" spans="1:9" x14ac:dyDescent="0.25">
      <c r="A39" s="69"/>
      <c r="D39" s="88"/>
      <c r="E39" s="88"/>
      <c r="I39" s="83"/>
    </row>
    <row r="40" spans="1:9" x14ac:dyDescent="0.25">
      <c r="A40" s="69"/>
      <c r="D40" s="88"/>
      <c r="E40" s="88"/>
      <c r="I40" s="83"/>
    </row>
    <row r="41" spans="1:9" x14ac:dyDescent="0.25">
      <c r="A41" s="69"/>
      <c r="D41" s="88"/>
      <c r="E41" s="88"/>
      <c r="I41" s="83"/>
    </row>
    <row r="42" spans="1:9" x14ac:dyDescent="0.25">
      <c r="A42" s="69"/>
      <c r="D42" s="88"/>
      <c r="E42" s="88"/>
      <c r="I42" s="83"/>
    </row>
    <row r="43" spans="1:9" x14ac:dyDescent="0.25">
      <c r="A43" s="69"/>
      <c r="D43" s="88"/>
      <c r="E43" s="88"/>
      <c r="I43" s="83"/>
    </row>
    <row r="44" spans="1:9" x14ac:dyDescent="0.25">
      <c r="A44" s="69"/>
      <c r="D44" s="88"/>
      <c r="E44" s="88"/>
      <c r="I44" s="83"/>
    </row>
    <row r="45" spans="1:9" x14ac:dyDescent="0.25">
      <c r="A45" s="69"/>
      <c r="D45" s="88"/>
      <c r="E45" s="88"/>
      <c r="I45" s="83"/>
    </row>
    <row r="46" spans="1:9" x14ac:dyDescent="0.25">
      <c r="A46" s="69"/>
      <c r="D46" s="88"/>
      <c r="E46" s="88"/>
      <c r="I46" s="83"/>
    </row>
    <row r="47" spans="1:9" x14ac:dyDescent="0.25">
      <c r="A47" s="69"/>
      <c r="D47" s="88"/>
      <c r="E47" s="88"/>
      <c r="I47" s="83"/>
    </row>
    <row r="48" spans="1:9" x14ac:dyDescent="0.25">
      <c r="A48" s="69"/>
      <c r="D48" s="88"/>
      <c r="E48" s="88"/>
      <c r="I48" s="83"/>
    </row>
    <row r="49" spans="1:9" x14ac:dyDescent="0.25">
      <c r="A49" s="69"/>
      <c r="D49" s="88"/>
      <c r="E49" s="88"/>
      <c r="I49" s="83"/>
    </row>
    <row r="50" spans="1:9" x14ac:dyDescent="0.25">
      <c r="A50" s="69"/>
      <c r="D50" s="88"/>
      <c r="E50" s="88"/>
      <c r="I50" s="83"/>
    </row>
    <row r="51" spans="1:9" x14ac:dyDescent="0.25">
      <c r="A51" s="69"/>
      <c r="D51" s="88"/>
      <c r="E51" s="88"/>
      <c r="I51" s="83"/>
    </row>
    <row r="52" spans="1:9" x14ac:dyDescent="0.25">
      <c r="A52" s="69"/>
      <c r="D52" s="88"/>
      <c r="E52" s="88"/>
      <c r="I52" s="83"/>
    </row>
    <row r="53" spans="1:9" x14ac:dyDescent="0.25">
      <c r="A53" s="69"/>
      <c r="D53" s="88"/>
      <c r="E53" s="88"/>
      <c r="I53" s="83"/>
    </row>
    <row r="54" spans="1:9" x14ac:dyDescent="0.25">
      <c r="A54" s="69"/>
      <c r="D54" s="88"/>
      <c r="E54" s="88"/>
      <c r="I54" s="83"/>
    </row>
    <row r="55" spans="1:9" x14ac:dyDescent="0.25">
      <c r="A55" s="69"/>
      <c r="D55" s="88"/>
      <c r="E55" s="88"/>
      <c r="I55" s="83"/>
    </row>
    <row r="56" spans="1:9" x14ac:dyDescent="0.25">
      <c r="A56" s="69"/>
      <c r="D56" s="88"/>
      <c r="E56" s="88"/>
      <c r="I56" s="83"/>
    </row>
    <row r="57" spans="1:9" x14ac:dyDescent="0.25">
      <c r="A57" s="69"/>
      <c r="D57" s="88"/>
      <c r="E57" s="88"/>
      <c r="I57" s="83"/>
    </row>
    <row r="58" spans="1:9" x14ac:dyDescent="0.25">
      <c r="A58" s="69"/>
      <c r="D58" s="88"/>
      <c r="E58" s="88"/>
      <c r="I58" s="83"/>
    </row>
    <row r="59" spans="1:9" x14ac:dyDescent="0.25">
      <c r="A59" s="69"/>
      <c r="D59" s="88"/>
      <c r="E59" s="88"/>
      <c r="I59" s="83"/>
    </row>
    <row r="60" spans="1:9" x14ac:dyDescent="0.25">
      <c r="A60" s="69"/>
      <c r="D60" s="88"/>
      <c r="E60" s="88"/>
      <c r="I60" s="83"/>
    </row>
    <row r="61" spans="1:9" x14ac:dyDescent="0.25">
      <c r="A61" s="88"/>
      <c r="B61" s="87"/>
      <c r="D61" s="88"/>
      <c r="E61" s="88"/>
      <c r="I61" s="83"/>
    </row>
    <row r="62" spans="1:9" x14ac:dyDescent="0.25">
      <c r="A62" s="69"/>
      <c r="D62" s="88"/>
      <c r="E62" s="88"/>
      <c r="I62" s="83"/>
    </row>
    <row r="63" spans="1:9" x14ac:dyDescent="0.25">
      <c r="A63" s="69"/>
      <c r="D63" s="88"/>
      <c r="E63" s="88"/>
      <c r="I63" s="83"/>
    </row>
    <row r="64" spans="1:9" x14ac:dyDescent="0.25">
      <c r="A64" s="69"/>
      <c r="C64" s="133"/>
      <c r="D64" s="88"/>
      <c r="E64" s="88"/>
      <c r="I64" s="83"/>
    </row>
    <row r="65" spans="1:9" x14ac:dyDescent="0.25">
      <c r="A65" s="69"/>
      <c r="D65" s="88"/>
      <c r="E65" s="88"/>
      <c r="I65" s="83"/>
    </row>
    <row r="66" spans="1:9" x14ac:dyDescent="0.25">
      <c r="A66" s="69"/>
      <c r="B66" s="87"/>
      <c r="D66" s="88"/>
      <c r="E66" s="88"/>
      <c r="I66" s="83"/>
    </row>
    <row r="67" spans="1:9" x14ac:dyDescent="0.25">
      <c r="A67" s="69"/>
      <c r="C67" s="133"/>
      <c r="D67" s="88"/>
      <c r="E67" s="88"/>
      <c r="I67" s="83"/>
    </row>
    <row r="68" spans="1:9" x14ac:dyDescent="0.25">
      <c r="A68" s="69"/>
      <c r="D68" s="88"/>
      <c r="E68" s="88"/>
      <c r="I68" s="83"/>
    </row>
    <row r="69" spans="1:9" x14ac:dyDescent="0.25">
      <c r="A69" s="69"/>
      <c r="D69" s="88"/>
      <c r="E69" s="88"/>
      <c r="I69" s="83"/>
    </row>
    <row r="70" spans="1:9" x14ac:dyDescent="0.25">
      <c r="A70" s="69"/>
      <c r="D70" s="88"/>
      <c r="E70" s="88"/>
      <c r="I70" s="83"/>
    </row>
    <row r="71" spans="1:9" x14ac:dyDescent="0.25">
      <c r="A71" s="69"/>
      <c r="D71" s="88"/>
      <c r="E71" s="88"/>
      <c r="I71" s="83"/>
    </row>
    <row r="72" spans="1:9" x14ac:dyDescent="0.25">
      <c r="A72" s="69"/>
      <c r="D72" s="88"/>
      <c r="E72" s="88"/>
      <c r="I72" s="83"/>
    </row>
    <row r="73" spans="1:9" x14ac:dyDescent="0.25">
      <c r="A73" s="69"/>
      <c r="D73" s="88"/>
      <c r="E73" s="88"/>
      <c r="I73" s="83"/>
    </row>
    <row r="74" spans="1:9" x14ac:dyDescent="0.25">
      <c r="A74" s="69"/>
      <c r="D74" s="88"/>
      <c r="E74" s="88"/>
      <c r="I74" s="83"/>
    </row>
    <row r="75" spans="1:9" x14ac:dyDescent="0.25">
      <c r="A75" s="69"/>
      <c r="D75" s="88"/>
      <c r="E75" s="88"/>
      <c r="I75" s="83"/>
    </row>
    <row r="76" spans="1:9" x14ac:dyDescent="0.25">
      <c r="A76" s="69"/>
      <c r="D76" s="88"/>
      <c r="E76" s="88"/>
      <c r="I76" s="83"/>
    </row>
    <row r="77" spans="1:9" x14ac:dyDescent="0.25">
      <c r="A77" s="69"/>
      <c r="D77" s="88"/>
      <c r="E77" s="88"/>
      <c r="I77" s="83"/>
    </row>
    <row r="78" spans="1:9" x14ac:dyDescent="0.25">
      <c r="A78" s="69"/>
      <c r="D78" s="88"/>
      <c r="E78" s="88"/>
      <c r="I78" s="83"/>
    </row>
    <row r="79" spans="1:9" x14ac:dyDescent="0.25">
      <c r="A79" s="69"/>
      <c r="D79" s="88"/>
      <c r="E79" s="88"/>
      <c r="I79" s="83"/>
    </row>
    <row r="80" spans="1:9" x14ac:dyDescent="0.25">
      <c r="A80" s="69"/>
      <c r="D80" s="88"/>
      <c r="E80" s="88"/>
      <c r="I80" s="83"/>
    </row>
    <row r="81" spans="1:9" x14ac:dyDescent="0.25">
      <c r="A81" s="69"/>
      <c r="D81" s="88"/>
      <c r="E81" s="88"/>
      <c r="I81" s="83"/>
    </row>
    <row r="82" spans="1:9" x14ac:dyDescent="0.25">
      <c r="A82" s="69"/>
      <c r="D82" s="88"/>
      <c r="E82" s="88"/>
      <c r="I82" s="83"/>
    </row>
    <row r="83" spans="1:9" x14ac:dyDescent="0.25">
      <c r="A83" s="69"/>
      <c r="D83" s="88"/>
      <c r="E83" s="88"/>
      <c r="I83" s="83"/>
    </row>
    <row r="84" spans="1:9" x14ac:dyDescent="0.25">
      <c r="A84" s="69"/>
      <c r="D84" s="88"/>
      <c r="E84" s="88"/>
      <c r="I84" s="83"/>
    </row>
    <row r="85" spans="1:9" x14ac:dyDescent="0.25">
      <c r="A85" s="69"/>
      <c r="D85" s="88"/>
      <c r="E85" s="88"/>
      <c r="I85" s="83"/>
    </row>
    <row r="86" spans="1:9" x14ac:dyDescent="0.25">
      <c r="A86" s="69"/>
      <c r="D86" s="88"/>
      <c r="E86" s="88"/>
      <c r="I86" s="83"/>
    </row>
    <row r="87" spans="1:9" x14ac:dyDescent="0.25">
      <c r="A87" s="69"/>
      <c r="D87" s="88"/>
      <c r="E87" s="88"/>
      <c r="I87" s="83"/>
    </row>
    <row r="88" spans="1:9" x14ac:dyDescent="0.25">
      <c r="A88" s="69"/>
      <c r="D88" s="88"/>
      <c r="E88" s="88"/>
      <c r="I88" s="83"/>
    </row>
    <row r="89" spans="1:9" x14ac:dyDescent="0.25">
      <c r="A89" s="69"/>
      <c r="D89" s="88"/>
      <c r="E89" s="88"/>
      <c r="I89" s="83"/>
    </row>
    <row r="90" spans="1:9" x14ac:dyDescent="0.25">
      <c r="A90" s="69"/>
      <c r="D90" s="88"/>
      <c r="E90" s="88"/>
      <c r="I90" s="83"/>
    </row>
    <row r="91" spans="1:9" x14ac:dyDescent="0.25">
      <c r="A91" s="85"/>
      <c r="B91" s="86"/>
      <c r="D91" s="88"/>
      <c r="E91" s="88"/>
    </row>
    <row r="92" spans="1:9" x14ac:dyDescent="0.25">
      <c r="A92" s="85"/>
      <c r="B92" s="86"/>
      <c r="D92" s="88"/>
      <c r="E92" s="88"/>
    </row>
    <row r="93" spans="1:9" x14ac:dyDescent="0.25">
      <c r="A93" s="85"/>
      <c r="B93" s="86"/>
      <c r="D93" s="88"/>
      <c r="E93" s="88"/>
    </row>
    <row r="94" spans="1:9" x14ac:dyDescent="0.25">
      <c r="A94" s="85"/>
      <c r="B94" s="86"/>
      <c r="D94" s="88"/>
      <c r="E94" s="88"/>
    </row>
    <row r="95" spans="1:9" x14ac:dyDescent="0.25">
      <c r="A95" s="85"/>
      <c r="B95" s="86"/>
      <c r="D95" s="88"/>
      <c r="E95" s="88"/>
    </row>
    <row r="96" spans="1:9" x14ac:dyDescent="0.25">
      <c r="A96" s="85"/>
      <c r="B96" s="86"/>
      <c r="D96" s="135"/>
      <c r="E96" s="136"/>
    </row>
    <row r="97" spans="1:5" x14ac:dyDescent="0.25">
      <c r="A97" s="85"/>
      <c r="B97" s="86"/>
      <c r="D97" s="135"/>
      <c r="E97" s="136"/>
    </row>
    <row r="98" spans="1:5" x14ac:dyDescent="0.25">
      <c r="A98" s="85"/>
      <c r="B98" s="86"/>
      <c r="D98" s="135"/>
      <c r="E98" s="136"/>
    </row>
    <row r="99" spans="1:5" x14ac:dyDescent="0.25">
      <c r="A99" s="85"/>
      <c r="B99" s="86"/>
      <c r="D99" s="135"/>
      <c r="E99" s="136"/>
    </row>
    <row r="100" spans="1:5" x14ac:dyDescent="0.25">
      <c r="A100" s="85"/>
      <c r="B100" s="86"/>
      <c r="D100" s="135"/>
      <c r="E100" s="136"/>
    </row>
    <row r="101" spans="1:5" x14ac:dyDescent="0.25">
      <c r="A101" s="85"/>
      <c r="B101" s="86"/>
      <c r="D101" s="135"/>
      <c r="E101" s="136"/>
    </row>
    <row r="102" spans="1:5" x14ac:dyDescent="0.25">
      <c r="A102" s="85"/>
      <c r="B102" s="86"/>
      <c r="D102" s="135"/>
      <c r="E102" s="136"/>
    </row>
    <row r="103" spans="1:5" x14ac:dyDescent="0.25">
      <c r="A103" s="85"/>
      <c r="B103" s="86"/>
      <c r="D103" s="135"/>
      <c r="E103" s="136"/>
    </row>
    <row r="104" spans="1:5" x14ac:dyDescent="0.25">
      <c r="A104" s="85"/>
      <c r="B104" s="86"/>
      <c r="D104" s="135"/>
      <c r="E104" s="136"/>
    </row>
    <row r="105" spans="1:5" x14ac:dyDescent="0.25">
      <c r="A105" s="85"/>
      <c r="B105" s="86"/>
      <c r="D105" s="135"/>
      <c r="E105" s="136"/>
    </row>
    <row r="106" spans="1:5" x14ac:dyDescent="0.25">
      <c r="A106" s="85"/>
      <c r="B106" s="86"/>
      <c r="D106" s="135"/>
      <c r="E106" s="136"/>
    </row>
    <row r="107" spans="1:5" x14ac:dyDescent="0.25">
      <c r="A107" s="85"/>
      <c r="B107" s="86"/>
      <c r="D107" s="135"/>
    </row>
    <row r="108" spans="1:5" x14ac:dyDescent="0.25">
      <c r="A108" s="85"/>
      <c r="B108" s="86"/>
      <c r="D108" s="135"/>
    </row>
    <row r="109" spans="1:5" x14ac:dyDescent="0.25">
      <c r="A109" s="85"/>
      <c r="B109" s="86"/>
      <c r="D109" s="135"/>
    </row>
    <row r="110" spans="1:5" x14ac:dyDescent="0.25">
      <c r="A110" s="85"/>
      <c r="B110" s="86"/>
      <c r="D110" s="135"/>
    </row>
    <row r="111" spans="1:5" x14ac:dyDescent="0.25">
      <c r="A111" s="85"/>
      <c r="B111" s="86"/>
      <c r="D111" s="135"/>
    </row>
    <row r="112" spans="1:5" x14ac:dyDescent="0.25">
      <c r="A112" s="85"/>
      <c r="B112" s="86"/>
      <c r="D112" s="135"/>
    </row>
    <row r="113" spans="1:5" x14ac:dyDescent="0.25">
      <c r="A113" s="85"/>
      <c r="B113" s="86"/>
      <c r="D113" s="135"/>
    </row>
    <row r="114" spans="1:5" x14ac:dyDescent="0.25">
      <c r="A114" s="85"/>
      <c r="B114" s="86"/>
      <c r="D114" s="135"/>
    </row>
    <row r="115" spans="1:5" x14ac:dyDescent="0.25">
      <c r="A115" s="85"/>
      <c r="B115" s="86"/>
      <c r="D115" s="135"/>
    </row>
    <row r="116" spans="1:5" x14ac:dyDescent="0.25">
      <c r="A116" s="85"/>
      <c r="B116" s="86"/>
      <c r="D116" s="135"/>
    </row>
    <row r="117" spans="1:5" x14ac:dyDescent="0.25">
      <c r="A117" s="85"/>
      <c r="B117" s="86"/>
      <c r="D117" s="135"/>
    </row>
    <row r="118" spans="1:5" x14ac:dyDescent="0.25">
      <c r="A118" s="85"/>
      <c r="B118" s="86"/>
      <c r="D118" s="135"/>
      <c r="E118" s="135"/>
    </row>
    <row r="119" spans="1:5" x14ac:dyDescent="0.25">
      <c r="A119" s="85"/>
      <c r="B119" s="86"/>
      <c r="D119" s="135"/>
      <c r="E119" s="135"/>
    </row>
    <row r="120" spans="1:5" x14ac:dyDescent="0.25">
      <c r="A120" s="85"/>
      <c r="B120" s="86"/>
      <c r="D120" s="135"/>
      <c r="E120" s="135"/>
    </row>
    <row r="121" spans="1:5" x14ac:dyDescent="0.25">
      <c r="A121" s="85"/>
      <c r="D121" s="135"/>
      <c r="E121" s="135"/>
    </row>
    <row r="122" spans="1:5" x14ac:dyDescent="0.25">
      <c r="A122" s="85"/>
      <c r="D122" s="135"/>
      <c r="E122" s="135"/>
    </row>
    <row r="124" spans="1:5" x14ac:dyDescent="0.25">
      <c r="B124" s="86"/>
      <c r="D124" s="88"/>
      <c r="E124" s="88"/>
    </row>
    <row r="125" spans="1:5" x14ac:dyDescent="0.25">
      <c r="B125" s="86"/>
      <c r="D125" s="88"/>
      <c r="E125" s="88"/>
    </row>
    <row r="126" spans="1:5" x14ac:dyDescent="0.25">
      <c r="B126" s="86"/>
      <c r="D126" s="88"/>
      <c r="E126" s="88"/>
    </row>
    <row r="127" spans="1:5" x14ac:dyDescent="0.25">
      <c r="B127" s="86"/>
      <c r="D127" s="88"/>
      <c r="E127" s="88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D20"/>
  <sheetViews>
    <sheetView workbookViewId="0">
      <selection sqref="A1:XFD1048576"/>
    </sheetView>
  </sheetViews>
  <sheetFormatPr baseColWidth="10" defaultColWidth="11.44140625" defaultRowHeight="14.4" x14ac:dyDescent="0.3"/>
  <cols>
    <col min="1" max="1" width="14.33203125" style="235" customWidth="1"/>
    <col min="2" max="2" width="8.33203125" style="234" customWidth="1"/>
    <col min="3" max="4" width="38.109375" style="235" customWidth="1"/>
    <col min="5" max="16384" width="11.44140625" style="235"/>
  </cols>
  <sheetData>
    <row r="1" spans="1:4" s="236" customFormat="1" ht="25.8" x14ac:dyDescent="0.5">
      <c r="A1" s="112" t="s">
        <v>160</v>
      </c>
      <c r="B1" s="237"/>
      <c r="C1" s="236" t="s">
        <v>159</v>
      </c>
    </row>
    <row r="2" spans="1:4" s="236" customFormat="1" x14ac:dyDescent="0.3">
      <c r="B2" s="237"/>
      <c r="C2" s="244" t="s">
        <v>170</v>
      </c>
      <c r="D2" s="244" t="s">
        <v>1042</v>
      </c>
    </row>
    <row r="3" spans="1:4" s="114" customFormat="1" x14ac:dyDescent="0.3">
      <c r="A3" s="241" t="s">
        <v>168</v>
      </c>
      <c r="B3" s="242" t="s">
        <v>169</v>
      </c>
      <c r="C3" s="243">
        <v>1</v>
      </c>
      <c r="D3" s="243">
        <v>4</v>
      </c>
    </row>
    <row r="4" spans="1:4" s="238" customFormat="1" ht="15.6" x14ac:dyDescent="0.3">
      <c r="A4" s="117" t="str">
        <f>"! --- "&amp;INDEX(MLtextDivisions,1)</f>
        <v>! --- User Interface - UI_xxxFIELD text</v>
      </c>
      <c r="B4" s="239"/>
    </row>
    <row r="5" spans="1:4" s="238" customFormat="1" x14ac:dyDescent="0.3">
      <c r="A5" s="240" t="s">
        <v>1043</v>
      </c>
      <c r="B5" s="239">
        <v>1</v>
      </c>
      <c r="C5" s="238" t="s">
        <v>1044</v>
      </c>
      <c r="D5" s="235" t="s">
        <v>1045</v>
      </c>
    </row>
    <row r="6" spans="1:4" s="238" customFormat="1" x14ac:dyDescent="0.3">
      <c r="A6" s="240" t="s">
        <v>1043</v>
      </c>
      <c r="B6" s="239">
        <v>2</v>
      </c>
      <c r="C6" s="235" t="s">
        <v>1050</v>
      </c>
      <c r="D6" s="235" t="s">
        <v>1046</v>
      </c>
    </row>
    <row r="7" spans="1:4" s="238" customFormat="1" x14ac:dyDescent="0.3">
      <c r="A7" s="240" t="s">
        <v>1043</v>
      </c>
      <c r="B7" s="239">
        <v>3</v>
      </c>
      <c r="C7" s="235" t="s">
        <v>1051</v>
      </c>
      <c r="D7" s="235" t="s">
        <v>1047</v>
      </c>
    </row>
    <row r="8" spans="1:4" s="238" customFormat="1" x14ac:dyDescent="0.3">
      <c r="A8" s="240" t="s">
        <v>1043</v>
      </c>
      <c r="B8" s="239">
        <v>4</v>
      </c>
      <c r="C8" s="235" t="s">
        <v>1052</v>
      </c>
      <c r="D8" s="235" t="s">
        <v>1048</v>
      </c>
    </row>
    <row r="9" spans="1:4" s="238" customFormat="1" x14ac:dyDescent="0.3">
      <c r="A9" s="240" t="s">
        <v>1043</v>
      </c>
      <c r="B9" s="239">
        <v>5</v>
      </c>
      <c r="C9" s="235" t="s">
        <v>1053</v>
      </c>
      <c r="D9" s="235" t="s">
        <v>1049</v>
      </c>
    </row>
    <row r="10" spans="1:4" ht="15.6" x14ac:dyDescent="0.3">
      <c r="A10" s="118" t="str">
        <f>"! --- "&amp;INDEX(MLtextDivisions,2)</f>
        <v>! --- User Interface - Tooltip text</v>
      </c>
    </row>
    <row r="11" spans="1:4" s="123" customFormat="1" x14ac:dyDescent="0.3">
      <c r="A11" s="240"/>
      <c r="B11" s="240"/>
    </row>
    <row r="12" spans="1:4" ht="15.6" x14ac:dyDescent="0.3">
      <c r="A12" s="118" t="str">
        <f>"! --- "&amp;INDEX(MLtextDivisions,3)</f>
        <v>! --- Parameter Script - VALUES</v>
      </c>
    </row>
    <row r="13" spans="1:4" s="123" customFormat="1" x14ac:dyDescent="0.3">
      <c r="A13" s="240"/>
      <c r="B13" s="240"/>
    </row>
    <row r="14" spans="1:4" ht="15.6" x14ac:dyDescent="0.3">
      <c r="A14" s="118" t="str">
        <f>"! --- "&amp;INDEX(MLtextDivisions,4)</f>
        <v>! --- Common Text</v>
      </c>
    </row>
    <row r="15" spans="1:4" x14ac:dyDescent="0.3">
      <c r="A15" s="240" t="s">
        <v>1038</v>
      </c>
      <c r="B15" s="234">
        <v>1</v>
      </c>
      <c r="C15" s="235" t="s">
        <v>845</v>
      </c>
      <c r="D15" s="235" t="s">
        <v>1039</v>
      </c>
    </row>
    <row r="16" spans="1:4" x14ac:dyDescent="0.3">
      <c r="A16" s="240" t="s">
        <v>1038</v>
      </c>
      <c r="B16" s="234">
        <v>2</v>
      </c>
      <c r="C16" s="235" t="s">
        <v>847</v>
      </c>
      <c r="D16" s="235" t="s">
        <v>847</v>
      </c>
    </row>
    <row r="17" spans="1:4" x14ac:dyDescent="0.3">
      <c r="A17" s="240" t="s">
        <v>1038</v>
      </c>
      <c r="B17" s="234">
        <v>3</v>
      </c>
      <c r="C17" s="235" t="s">
        <v>846</v>
      </c>
      <c r="D17" s="235" t="s">
        <v>1040</v>
      </c>
    </row>
    <row r="18" spans="1:4" x14ac:dyDescent="0.3">
      <c r="A18" s="240" t="s">
        <v>1038</v>
      </c>
      <c r="B18" s="234">
        <v>4</v>
      </c>
      <c r="C18" s="235" t="s">
        <v>973</v>
      </c>
      <c r="D18" s="235" t="s">
        <v>1041</v>
      </c>
    </row>
    <row r="19" spans="1:4" s="123" customFormat="1" ht="15.6" x14ac:dyDescent="0.3">
      <c r="A19" s="121"/>
      <c r="B19" s="240"/>
    </row>
    <row r="20" spans="1:4" ht="15.6" x14ac:dyDescent="0.3">
      <c r="A20" s="118" t="str">
        <f>"! --- END"</f>
        <v>! --- END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41</vt:i4>
      </vt:variant>
    </vt:vector>
  </HeadingPairs>
  <TitlesOfParts>
    <vt:vector size="50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Tabelle1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2025-09-23T15:48:03Z</dcterms:modified>
</cp:coreProperties>
</file>