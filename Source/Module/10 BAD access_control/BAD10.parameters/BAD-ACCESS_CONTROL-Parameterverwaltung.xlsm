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10 BAD access_control\BAD10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externalReferences>
    <externalReference r:id="rId9"/>
  </externalReferences>
  <definedNames>
    <definedName name="ARRAY">PARAMETERS!$Z$2:$Z$414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PARAMETERS!$O$2:$O$415</definedName>
    <definedName name="PARAMETERLISTE">PARAMETERS!$A$2:$Q$415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PARAMETERS!$AA$2:$AA$414</definedName>
    <definedName name="VALUES1dim">VALUES!$B$6:$BG$35</definedName>
    <definedName name="VALUESdim">VALUES!$B$1:$BG$1</definedName>
    <definedName name="VALUESLIST">VALUES!$B$5:$BF$96</definedName>
    <definedName name="VALUESnames">VALUES!$B$5:$BH$5</definedName>
    <definedName name="valuesPROP">#REF!</definedName>
    <definedName name="VALUESval">VALUES!$B$6:$BG$96</definedName>
  </definedNames>
  <calcPr calcId="162913" concurrentCalc="0"/>
</workbook>
</file>

<file path=xl/calcChain.xml><?xml version="1.0" encoding="utf-8"?>
<calcChain xmlns="http://schemas.openxmlformats.org/spreadsheetml/2006/main">
  <c r="Z295" i="6" l="1"/>
  <c r="AA295" i="6"/>
  <c r="AB295" i="6"/>
  <c r="Z296" i="6"/>
  <c r="AA296" i="6"/>
  <c r="AB296" i="6"/>
  <c r="Z297" i="6"/>
  <c r="AA297" i="6"/>
  <c r="AB297" i="6"/>
  <c r="Z298" i="6"/>
  <c r="AA298" i="6"/>
  <c r="AB298" i="6"/>
  <c r="Z299" i="6"/>
  <c r="AA299" i="6"/>
  <c r="AB299" i="6"/>
  <c r="Z300" i="6"/>
  <c r="AA300" i="6"/>
  <c r="AB300" i="6"/>
  <c r="Z301" i="6"/>
  <c r="AA301" i="6"/>
  <c r="AB301" i="6"/>
  <c r="Z302" i="6"/>
  <c r="AA302" i="6"/>
  <c r="AB302" i="6"/>
  <c r="Z303" i="6"/>
  <c r="AA303" i="6"/>
  <c r="AB303" i="6"/>
  <c r="Z304" i="6"/>
  <c r="AA304" i="6"/>
  <c r="AB304" i="6"/>
  <c r="Z305" i="6"/>
  <c r="AA305" i="6"/>
  <c r="AB305" i="6"/>
  <c r="Z306" i="6"/>
  <c r="AA306" i="6"/>
  <c r="AB306" i="6"/>
  <c r="Z307" i="6"/>
  <c r="AA307" i="6"/>
  <c r="AB307" i="6"/>
  <c r="Z308" i="6"/>
  <c r="AA308" i="6"/>
  <c r="AB308" i="6"/>
  <c r="Z309" i="6"/>
  <c r="AA309" i="6"/>
  <c r="AB309" i="6"/>
  <c r="Z310" i="6"/>
  <c r="AA310" i="6"/>
  <c r="AB310" i="6"/>
  <c r="Z311" i="6"/>
  <c r="AA311" i="6"/>
  <c r="AB311" i="6"/>
  <c r="Z312" i="6"/>
  <c r="AA312" i="6"/>
  <c r="AB312" i="6"/>
  <c r="Z313" i="6"/>
  <c r="AA313" i="6"/>
  <c r="AB313" i="6"/>
  <c r="Z314" i="6"/>
  <c r="AA314" i="6"/>
  <c r="AB314" i="6"/>
  <c r="Z315" i="6"/>
  <c r="AA315" i="6"/>
  <c r="AB315" i="6"/>
  <c r="Z316" i="6"/>
  <c r="AA316" i="6"/>
  <c r="AB316" i="6"/>
  <c r="Z317" i="6"/>
  <c r="AA317" i="6"/>
  <c r="AB317" i="6"/>
  <c r="Z318" i="6"/>
  <c r="AA318" i="6"/>
  <c r="AB318" i="6"/>
  <c r="Z319" i="6"/>
  <c r="AA319" i="6"/>
  <c r="AB319" i="6"/>
  <c r="Z320" i="6"/>
  <c r="AA320" i="6"/>
  <c r="AB320" i="6"/>
  <c r="Z321" i="6"/>
  <c r="AA321" i="6"/>
  <c r="AB321" i="6"/>
  <c r="C294" i="6"/>
  <c r="Z294" i="6"/>
  <c r="AA294" i="6"/>
  <c r="AC294" i="6"/>
  <c r="AB294" i="6"/>
  <c r="O289" i="6"/>
  <c r="O288" i="6"/>
  <c r="AB288" i="6"/>
  <c r="C287" i="6"/>
  <c r="Z287" i="6"/>
  <c r="AA287" i="6"/>
  <c r="AC287" i="6"/>
  <c r="AB287" i="6"/>
  <c r="C288" i="6"/>
  <c r="AA288" i="6"/>
  <c r="AC288" i="6"/>
  <c r="C289" i="6"/>
  <c r="Z289" i="6"/>
  <c r="AA289" i="6"/>
  <c r="AC289" i="6"/>
  <c r="AB289" i="6"/>
  <c r="C290" i="6"/>
  <c r="Z290" i="6"/>
  <c r="AA290" i="6"/>
  <c r="AC290" i="6"/>
  <c r="AB290" i="6"/>
  <c r="C291" i="6"/>
  <c r="Z291" i="6"/>
  <c r="AA291" i="6"/>
  <c r="AC291" i="6"/>
  <c r="AB291" i="6"/>
  <c r="C292" i="6"/>
  <c r="Z292" i="6"/>
  <c r="AA292" i="6"/>
  <c r="AC292" i="6"/>
  <c r="AB292" i="6"/>
  <c r="O278" i="6"/>
  <c r="AB278" i="6"/>
  <c r="O276" i="6"/>
  <c r="Z276" i="6"/>
  <c r="C293" i="6"/>
  <c r="Z293" i="6"/>
  <c r="AA293" i="6"/>
  <c r="AC293" i="6"/>
  <c r="AB293" i="6"/>
  <c r="C297" i="6"/>
  <c r="C296" i="6"/>
  <c r="C295" i="6"/>
  <c r="C286" i="6"/>
  <c r="Z286" i="6"/>
  <c r="AA286" i="6"/>
  <c r="AB286" i="6"/>
  <c r="Z7" i="6"/>
  <c r="AA7" i="6"/>
  <c r="AC7" i="6"/>
  <c r="AB7" i="6"/>
  <c r="Z8" i="6"/>
  <c r="AA8" i="6"/>
  <c r="AC8" i="6"/>
  <c r="AB8" i="6"/>
  <c r="Z9" i="6"/>
  <c r="AA9" i="6"/>
  <c r="AC9" i="6"/>
  <c r="AB9" i="6"/>
  <c r="Z10" i="6"/>
  <c r="AA10" i="6"/>
  <c r="AC10" i="6"/>
  <c r="AB10" i="6"/>
  <c r="Z11" i="6"/>
  <c r="AA11" i="6"/>
  <c r="AC11" i="6"/>
  <c r="AB11" i="6"/>
  <c r="Z12" i="6"/>
  <c r="AA12" i="6"/>
  <c r="AC12" i="6"/>
  <c r="AB12" i="6"/>
  <c r="Z13" i="6"/>
  <c r="AA13" i="6"/>
  <c r="AC13" i="6"/>
  <c r="AB13" i="6"/>
  <c r="Z14" i="6"/>
  <c r="AA14" i="6"/>
  <c r="AC14" i="6"/>
  <c r="AB14" i="6"/>
  <c r="Z15" i="6"/>
  <c r="AA15" i="6"/>
  <c r="AC15" i="6"/>
  <c r="AB15" i="6"/>
  <c r="Z16" i="6"/>
  <c r="AA16" i="6"/>
  <c r="AC16" i="6"/>
  <c r="AB16" i="6"/>
  <c r="Z17" i="6"/>
  <c r="AA17" i="6"/>
  <c r="AC17" i="6"/>
  <c r="AB17" i="6"/>
  <c r="Z18" i="6"/>
  <c r="AA18" i="6"/>
  <c r="AC18" i="6"/>
  <c r="AB18" i="6"/>
  <c r="Z19" i="6"/>
  <c r="AA19" i="6"/>
  <c r="AC19" i="6"/>
  <c r="AB19" i="6"/>
  <c r="Z20" i="6"/>
  <c r="AA20" i="6"/>
  <c r="AC20" i="6"/>
  <c r="AB20" i="6"/>
  <c r="Z21" i="6"/>
  <c r="AA21" i="6"/>
  <c r="AC21" i="6"/>
  <c r="AB21" i="6"/>
  <c r="Z22" i="6"/>
  <c r="AA22" i="6"/>
  <c r="AC22" i="6"/>
  <c r="AB22" i="6"/>
  <c r="Z23" i="6"/>
  <c r="AA23" i="6"/>
  <c r="AC23" i="6"/>
  <c r="AB23" i="6"/>
  <c r="Z24" i="6"/>
  <c r="AA24" i="6"/>
  <c r="AC24" i="6"/>
  <c r="AB24" i="6"/>
  <c r="Z25" i="6"/>
  <c r="AA25" i="6"/>
  <c r="AC25" i="6"/>
  <c r="AB25" i="6"/>
  <c r="Z26" i="6"/>
  <c r="AA26" i="6"/>
  <c r="AC26" i="6"/>
  <c r="AB26" i="6"/>
  <c r="Z27" i="6"/>
  <c r="AA27" i="6"/>
  <c r="AC27" i="6"/>
  <c r="AB27" i="6"/>
  <c r="Z28" i="6"/>
  <c r="AA28" i="6"/>
  <c r="AC28" i="6"/>
  <c r="AB28" i="6"/>
  <c r="Z29" i="6"/>
  <c r="AA29" i="6"/>
  <c r="AC29" i="6"/>
  <c r="AB29" i="6"/>
  <c r="Z30" i="6"/>
  <c r="AA30" i="6"/>
  <c r="AC30" i="6"/>
  <c r="AB30" i="6"/>
  <c r="Z31" i="6"/>
  <c r="AA31" i="6"/>
  <c r="AC31" i="6"/>
  <c r="AB31" i="6"/>
  <c r="Z32" i="6"/>
  <c r="AA32" i="6"/>
  <c r="AC32" i="6"/>
  <c r="AB32" i="6"/>
  <c r="Z33" i="6"/>
  <c r="AA33" i="6"/>
  <c r="AC33" i="6"/>
  <c r="AB33" i="6"/>
  <c r="Z34" i="6"/>
  <c r="AA34" i="6"/>
  <c r="AC34" i="6"/>
  <c r="AB34" i="6"/>
  <c r="Z35" i="6"/>
  <c r="AA35" i="6"/>
  <c r="AC35" i="6"/>
  <c r="AB35" i="6"/>
  <c r="Z36" i="6"/>
  <c r="AA36" i="6"/>
  <c r="AC36" i="6"/>
  <c r="AB36" i="6"/>
  <c r="Z37" i="6"/>
  <c r="AA37" i="6"/>
  <c r="AC37" i="6"/>
  <c r="AB37" i="6"/>
  <c r="Z38" i="6"/>
  <c r="AA38" i="6"/>
  <c r="AC38" i="6"/>
  <c r="AB38" i="6"/>
  <c r="Z39" i="6"/>
  <c r="AA39" i="6"/>
  <c r="AC39" i="6"/>
  <c r="AB39" i="6"/>
  <c r="Z40" i="6"/>
  <c r="AA40" i="6"/>
  <c r="AC40" i="6"/>
  <c r="AB40" i="6"/>
  <c r="Z41" i="6"/>
  <c r="AA41" i="6"/>
  <c r="AC41" i="6"/>
  <c r="AB41" i="6"/>
  <c r="Z42" i="6"/>
  <c r="AA42" i="6"/>
  <c r="AC42" i="6"/>
  <c r="AB42" i="6"/>
  <c r="Z43" i="6"/>
  <c r="AA43" i="6"/>
  <c r="AC43" i="6"/>
  <c r="AB43" i="6"/>
  <c r="Z44" i="6"/>
  <c r="AA44" i="6"/>
  <c r="AC44" i="6"/>
  <c r="AB44" i="6"/>
  <c r="Z45" i="6"/>
  <c r="AA45" i="6"/>
  <c r="AC45" i="6"/>
  <c r="AB45" i="6"/>
  <c r="Z46" i="6"/>
  <c r="AA46" i="6"/>
  <c r="AC46" i="6"/>
  <c r="AB46" i="6"/>
  <c r="Z47" i="6"/>
  <c r="AA47" i="6"/>
  <c r="AC47" i="6"/>
  <c r="AB47" i="6"/>
  <c r="Z48" i="6"/>
  <c r="AA48" i="6"/>
  <c r="AC48" i="6"/>
  <c r="AB48" i="6"/>
  <c r="Z49" i="6"/>
  <c r="AA49" i="6"/>
  <c r="AC49" i="6"/>
  <c r="AB49" i="6"/>
  <c r="Z50" i="6"/>
  <c r="AA50" i="6"/>
  <c r="AC50" i="6"/>
  <c r="AB50" i="6"/>
  <c r="Z51" i="6"/>
  <c r="AA51" i="6"/>
  <c r="AC51" i="6"/>
  <c r="AB51" i="6"/>
  <c r="Z52" i="6"/>
  <c r="AA52" i="6"/>
  <c r="AC52" i="6"/>
  <c r="AB52" i="6"/>
  <c r="Z53" i="6"/>
  <c r="AA53" i="6"/>
  <c r="AC53" i="6"/>
  <c r="AB53" i="6"/>
  <c r="Z54" i="6"/>
  <c r="AA54" i="6"/>
  <c r="AC54" i="6"/>
  <c r="AB54" i="6"/>
  <c r="Z55" i="6"/>
  <c r="AA55" i="6"/>
  <c r="AC55" i="6"/>
  <c r="AB55" i="6"/>
  <c r="Z56" i="6"/>
  <c r="AA56" i="6"/>
  <c r="AC56" i="6"/>
  <c r="AB56" i="6"/>
  <c r="Z57" i="6"/>
  <c r="AA57" i="6"/>
  <c r="AC57" i="6"/>
  <c r="AB57" i="6"/>
  <c r="Z58" i="6"/>
  <c r="AA58" i="6"/>
  <c r="AC58" i="6"/>
  <c r="AB58" i="6"/>
  <c r="Z59" i="6"/>
  <c r="AA59" i="6"/>
  <c r="AC59" i="6"/>
  <c r="AB59" i="6"/>
  <c r="Z60" i="6"/>
  <c r="AA60" i="6"/>
  <c r="AC60" i="6"/>
  <c r="AB60" i="6"/>
  <c r="Z61" i="6"/>
  <c r="AA61" i="6"/>
  <c r="AC61" i="6"/>
  <c r="AB61" i="6"/>
  <c r="Z62" i="6"/>
  <c r="AA62" i="6"/>
  <c r="AC62" i="6"/>
  <c r="AB62" i="6"/>
  <c r="Z63" i="6"/>
  <c r="AA63" i="6"/>
  <c r="AC63" i="6"/>
  <c r="AB63" i="6"/>
  <c r="Z64" i="6"/>
  <c r="AA64" i="6"/>
  <c r="AC64" i="6"/>
  <c r="AB64" i="6"/>
  <c r="Z65" i="6"/>
  <c r="AA65" i="6"/>
  <c r="AC65" i="6"/>
  <c r="AB65" i="6"/>
  <c r="Z66" i="6"/>
  <c r="AA66" i="6"/>
  <c r="AC66" i="6"/>
  <c r="AB66" i="6"/>
  <c r="Z67" i="6"/>
  <c r="AA67" i="6"/>
  <c r="AC67" i="6"/>
  <c r="AB67" i="6"/>
  <c r="Z68" i="6"/>
  <c r="AA68" i="6"/>
  <c r="AC68" i="6"/>
  <c r="AB68" i="6"/>
  <c r="Z69" i="6"/>
  <c r="AA69" i="6"/>
  <c r="AC69" i="6"/>
  <c r="AB69" i="6"/>
  <c r="Z70" i="6"/>
  <c r="AA70" i="6"/>
  <c r="AC70" i="6"/>
  <c r="AB70" i="6"/>
  <c r="Z71" i="6"/>
  <c r="AA71" i="6"/>
  <c r="AC71" i="6"/>
  <c r="AB71" i="6"/>
  <c r="Z72" i="6"/>
  <c r="AA72" i="6"/>
  <c r="AC72" i="6"/>
  <c r="AB72" i="6"/>
  <c r="Z73" i="6"/>
  <c r="AA73" i="6"/>
  <c r="AC73" i="6"/>
  <c r="AB73" i="6"/>
  <c r="Z74" i="6"/>
  <c r="AA74" i="6"/>
  <c r="AC74" i="6"/>
  <c r="AB74" i="6"/>
  <c r="Z75" i="6"/>
  <c r="AA75" i="6"/>
  <c r="AC75" i="6"/>
  <c r="AB75" i="6"/>
  <c r="Z76" i="6"/>
  <c r="AA76" i="6"/>
  <c r="AC76" i="6"/>
  <c r="AB76" i="6"/>
  <c r="Z77" i="6"/>
  <c r="AA77" i="6"/>
  <c r="AC77" i="6"/>
  <c r="AB77" i="6"/>
  <c r="Z78" i="6"/>
  <c r="AA78" i="6"/>
  <c r="AC78" i="6"/>
  <c r="AB78" i="6"/>
  <c r="Z79" i="6"/>
  <c r="AA79" i="6"/>
  <c r="AC79" i="6"/>
  <c r="AB79" i="6"/>
  <c r="Z80" i="6"/>
  <c r="AA80" i="6"/>
  <c r="AC80" i="6"/>
  <c r="AB80" i="6"/>
  <c r="Z81" i="6"/>
  <c r="AA81" i="6"/>
  <c r="AC81" i="6"/>
  <c r="AB81" i="6"/>
  <c r="Z82" i="6"/>
  <c r="AA82" i="6"/>
  <c r="AC82" i="6"/>
  <c r="AB82" i="6"/>
  <c r="Z83" i="6"/>
  <c r="AA83" i="6"/>
  <c r="AC83" i="6"/>
  <c r="AB83" i="6"/>
  <c r="Z84" i="6"/>
  <c r="AA84" i="6"/>
  <c r="AC84" i="6"/>
  <c r="AB84" i="6"/>
  <c r="Z85" i="6"/>
  <c r="AA85" i="6"/>
  <c r="AC85" i="6"/>
  <c r="AB85" i="6"/>
  <c r="Z86" i="6"/>
  <c r="AA86" i="6"/>
  <c r="AC86" i="6"/>
  <c r="AB86" i="6"/>
  <c r="Z87" i="6"/>
  <c r="AA87" i="6"/>
  <c r="AC87" i="6"/>
  <c r="AB87" i="6"/>
  <c r="Z88" i="6"/>
  <c r="AA88" i="6"/>
  <c r="AC88" i="6"/>
  <c r="AB88" i="6"/>
  <c r="Z89" i="6"/>
  <c r="AA89" i="6"/>
  <c r="AC89" i="6"/>
  <c r="AB89" i="6"/>
  <c r="Z90" i="6"/>
  <c r="AA90" i="6"/>
  <c r="AC90" i="6"/>
  <c r="AB90" i="6"/>
  <c r="Z91" i="6"/>
  <c r="AA91" i="6"/>
  <c r="AC91" i="6"/>
  <c r="AB91" i="6"/>
  <c r="Z92" i="6"/>
  <c r="AA92" i="6"/>
  <c r="AC92" i="6"/>
  <c r="AB92" i="6"/>
  <c r="Z93" i="6"/>
  <c r="AA93" i="6"/>
  <c r="AC93" i="6"/>
  <c r="AB93" i="6"/>
  <c r="Z94" i="6"/>
  <c r="AA94" i="6"/>
  <c r="AC94" i="6"/>
  <c r="AB94" i="6"/>
  <c r="Z95" i="6"/>
  <c r="AA95" i="6"/>
  <c r="AC95" i="6"/>
  <c r="AB95" i="6"/>
  <c r="Z96" i="6"/>
  <c r="AA96" i="6"/>
  <c r="AC96" i="6"/>
  <c r="AB96" i="6"/>
  <c r="Z97" i="6"/>
  <c r="AA97" i="6"/>
  <c r="AC97" i="6"/>
  <c r="AB97" i="6"/>
  <c r="Z98" i="6"/>
  <c r="AA98" i="6"/>
  <c r="AC98" i="6"/>
  <c r="AB98" i="6"/>
  <c r="Z99" i="6"/>
  <c r="AA99" i="6"/>
  <c r="AC99" i="6"/>
  <c r="AB99" i="6"/>
  <c r="Z100" i="6"/>
  <c r="AA100" i="6"/>
  <c r="AC100" i="6"/>
  <c r="AB100" i="6"/>
  <c r="Z101" i="6"/>
  <c r="AA101" i="6"/>
  <c r="AC101" i="6"/>
  <c r="AB101" i="6"/>
  <c r="Z102" i="6"/>
  <c r="AA102" i="6"/>
  <c r="AC102" i="6"/>
  <c r="AB102" i="6"/>
  <c r="Z103" i="6"/>
  <c r="AA103" i="6"/>
  <c r="AC103" i="6"/>
  <c r="AB103" i="6"/>
  <c r="Z104" i="6"/>
  <c r="AA104" i="6"/>
  <c r="AC104" i="6"/>
  <c r="AB104" i="6"/>
  <c r="Z105" i="6"/>
  <c r="AA105" i="6"/>
  <c r="AC105" i="6"/>
  <c r="AB105" i="6"/>
  <c r="Z106" i="6"/>
  <c r="AA106" i="6"/>
  <c r="AC106" i="6"/>
  <c r="AB106" i="6"/>
  <c r="Z107" i="6"/>
  <c r="AA107" i="6"/>
  <c r="AC107" i="6"/>
  <c r="AB107" i="6"/>
  <c r="Z108" i="6"/>
  <c r="AA108" i="6"/>
  <c r="AC108" i="6"/>
  <c r="AB108" i="6"/>
  <c r="Z109" i="6"/>
  <c r="AA109" i="6"/>
  <c r="AC109" i="6"/>
  <c r="AB109" i="6"/>
  <c r="Z110" i="6"/>
  <c r="AA110" i="6"/>
  <c r="AC110" i="6"/>
  <c r="AB110" i="6"/>
  <c r="Z111" i="6"/>
  <c r="AA111" i="6"/>
  <c r="AC111" i="6"/>
  <c r="AB111" i="6"/>
  <c r="Z112" i="6"/>
  <c r="AA112" i="6"/>
  <c r="AC112" i="6"/>
  <c r="AB112" i="6"/>
  <c r="Z113" i="6"/>
  <c r="AA113" i="6"/>
  <c r="AC113" i="6"/>
  <c r="AB113" i="6"/>
  <c r="Z114" i="6"/>
  <c r="AA114" i="6"/>
  <c r="AC114" i="6"/>
  <c r="AB114" i="6"/>
  <c r="Z115" i="6"/>
  <c r="AA115" i="6"/>
  <c r="AC115" i="6"/>
  <c r="AB115" i="6"/>
  <c r="Z116" i="6"/>
  <c r="AA116" i="6"/>
  <c r="AC116" i="6"/>
  <c r="AB116" i="6"/>
  <c r="Z117" i="6"/>
  <c r="AA117" i="6"/>
  <c r="AC117" i="6"/>
  <c r="AB117" i="6"/>
  <c r="Z118" i="6"/>
  <c r="AA118" i="6"/>
  <c r="AC118" i="6"/>
  <c r="AB118" i="6"/>
  <c r="Z119" i="6"/>
  <c r="AA119" i="6"/>
  <c r="AC119" i="6"/>
  <c r="AB119" i="6"/>
  <c r="Z120" i="6"/>
  <c r="AA120" i="6"/>
  <c r="AC120" i="6"/>
  <c r="AB120" i="6"/>
  <c r="Z121" i="6"/>
  <c r="AA121" i="6"/>
  <c r="AC121" i="6"/>
  <c r="AB121" i="6"/>
  <c r="Z122" i="6"/>
  <c r="AA122" i="6"/>
  <c r="AC122" i="6"/>
  <c r="AB122" i="6"/>
  <c r="Z123" i="6"/>
  <c r="AA123" i="6"/>
  <c r="AC123" i="6"/>
  <c r="AB123" i="6"/>
  <c r="Z124" i="6"/>
  <c r="AA124" i="6"/>
  <c r="AC124" i="6"/>
  <c r="AB124" i="6"/>
  <c r="Z125" i="6"/>
  <c r="AA125" i="6"/>
  <c r="AC125" i="6"/>
  <c r="AB125" i="6"/>
  <c r="AA126" i="6"/>
  <c r="AC126" i="6"/>
  <c r="Z127" i="6"/>
  <c r="AA127" i="6"/>
  <c r="AC127" i="6"/>
  <c r="AB127" i="6"/>
  <c r="Z128" i="6"/>
  <c r="AA128" i="6"/>
  <c r="AC128" i="6"/>
  <c r="AB128" i="6"/>
  <c r="Z129" i="6"/>
  <c r="AA129" i="6"/>
  <c r="AC129" i="6"/>
  <c r="AB129" i="6"/>
  <c r="Z130" i="6"/>
  <c r="AA130" i="6"/>
  <c r="AC130" i="6"/>
  <c r="AB130" i="6"/>
  <c r="Z131" i="6"/>
  <c r="AA131" i="6"/>
  <c r="AC131" i="6"/>
  <c r="AB131" i="6"/>
  <c r="Z132" i="6"/>
  <c r="AA132" i="6"/>
  <c r="AC132" i="6"/>
  <c r="AB132" i="6"/>
  <c r="Z133" i="6"/>
  <c r="AA133" i="6"/>
  <c r="AC133" i="6"/>
  <c r="AB133" i="6"/>
  <c r="Z134" i="6"/>
  <c r="AA134" i="6"/>
  <c r="AC134" i="6"/>
  <c r="AB134" i="6"/>
  <c r="Z135" i="6"/>
  <c r="AA135" i="6"/>
  <c r="AC135" i="6"/>
  <c r="AB135" i="6"/>
  <c r="Z136" i="6"/>
  <c r="AA136" i="6"/>
  <c r="AC136" i="6"/>
  <c r="AB136" i="6"/>
  <c r="Z137" i="6"/>
  <c r="AA137" i="6"/>
  <c r="AC137" i="6"/>
  <c r="AB137" i="6"/>
  <c r="Z138" i="6"/>
  <c r="AA138" i="6"/>
  <c r="AC138" i="6"/>
  <c r="AB138" i="6"/>
  <c r="Z139" i="6"/>
  <c r="AA139" i="6"/>
  <c r="AC139" i="6"/>
  <c r="AB139" i="6"/>
  <c r="Z140" i="6"/>
  <c r="AA140" i="6"/>
  <c r="AC140" i="6"/>
  <c r="AB140" i="6"/>
  <c r="Z141" i="6"/>
  <c r="AA141" i="6"/>
  <c r="AC141" i="6"/>
  <c r="AB141" i="6"/>
  <c r="Z142" i="6"/>
  <c r="AA142" i="6"/>
  <c r="AC142" i="6"/>
  <c r="AB142" i="6"/>
  <c r="Z143" i="6"/>
  <c r="AA143" i="6"/>
  <c r="AC143" i="6"/>
  <c r="AB143" i="6"/>
  <c r="Z144" i="6"/>
  <c r="AA144" i="6"/>
  <c r="AC144" i="6"/>
  <c r="AB144" i="6"/>
  <c r="Z145" i="6"/>
  <c r="AA145" i="6"/>
  <c r="AC145" i="6"/>
  <c r="AB145" i="6"/>
  <c r="Z146" i="6"/>
  <c r="AA146" i="6"/>
  <c r="AC146" i="6"/>
  <c r="AB146" i="6"/>
  <c r="Z147" i="6"/>
  <c r="AA147" i="6"/>
  <c r="AC147" i="6"/>
  <c r="AB147" i="6"/>
  <c r="Z148" i="6"/>
  <c r="AA148" i="6"/>
  <c r="AC148" i="6"/>
  <c r="AB148" i="6"/>
  <c r="Z149" i="6"/>
  <c r="AA149" i="6"/>
  <c r="AC149" i="6"/>
  <c r="AB149" i="6"/>
  <c r="Z150" i="6"/>
  <c r="AA150" i="6"/>
  <c r="AC150" i="6"/>
  <c r="AB150" i="6"/>
  <c r="Z151" i="6"/>
  <c r="AA151" i="6"/>
  <c r="AC151" i="6"/>
  <c r="AB151" i="6"/>
  <c r="Z152" i="6"/>
  <c r="AA152" i="6"/>
  <c r="AC152" i="6"/>
  <c r="AB152" i="6"/>
  <c r="Z153" i="6"/>
  <c r="AA153" i="6"/>
  <c r="AC153" i="6"/>
  <c r="AB153" i="6"/>
  <c r="Z154" i="6"/>
  <c r="AA154" i="6"/>
  <c r="AC154" i="6"/>
  <c r="AB154" i="6"/>
  <c r="Z155" i="6"/>
  <c r="AA155" i="6"/>
  <c r="AC155" i="6"/>
  <c r="AB155" i="6"/>
  <c r="Z156" i="6"/>
  <c r="AA156" i="6"/>
  <c r="AC156" i="6"/>
  <c r="AB156" i="6"/>
  <c r="Z157" i="6"/>
  <c r="AA157" i="6"/>
  <c r="AC157" i="6"/>
  <c r="AB157" i="6"/>
  <c r="Z158" i="6"/>
  <c r="AA158" i="6"/>
  <c r="AC158" i="6"/>
  <c r="AB158" i="6"/>
  <c r="Z159" i="6"/>
  <c r="AA159" i="6"/>
  <c r="AC159" i="6"/>
  <c r="AB159" i="6"/>
  <c r="Z160" i="6"/>
  <c r="AA160" i="6"/>
  <c r="AC160" i="6"/>
  <c r="AB160" i="6"/>
  <c r="Z161" i="6"/>
  <c r="AA161" i="6"/>
  <c r="AC161" i="6"/>
  <c r="AB161" i="6"/>
  <c r="Z162" i="6"/>
  <c r="AA162" i="6"/>
  <c r="AC162" i="6"/>
  <c r="AB162" i="6"/>
  <c r="Z163" i="6"/>
  <c r="AA163" i="6"/>
  <c r="AC163" i="6"/>
  <c r="AB163" i="6"/>
  <c r="Z164" i="6"/>
  <c r="AA164" i="6"/>
  <c r="AC164" i="6"/>
  <c r="AB164" i="6"/>
  <c r="Z165" i="6"/>
  <c r="AA165" i="6"/>
  <c r="AC165" i="6"/>
  <c r="AB165" i="6"/>
  <c r="Z166" i="6"/>
  <c r="AA166" i="6"/>
  <c r="AC166" i="6"/>
  <c r="AB166" i="6"/>
  <c r="Z167" i="6"/>
  <c r="AA167" i="6"/>
  <c r="AC167" i="6"/>
  <c r="AB167" i="6"/>
  <c r="Z168" i="6"/>
  <c r="AA168" i="6"/>
  <c r="AC168" i="6"/>
  <c r="AB168" i="6"/>
  <c r="Z169" i="6"/>
  <c r="AA169" i="6"/>
  <c r="AC169" i="6"/>
  <c r="AB169" i="6"/>
  <c r="Z170" i="6"/>
  <c r="AA170" i="6"/>
  <c r="AC170" i="6"/>
  <c r="AB170" i="6"/>
  <c r="Z171" i="6"/>
  <c r="AA171" i="6"/>
  <c r="AC171" i="6"/>
  <c r="AB171" i="6"/>
  <c r="Z172" i="6"/>
  <c r="AA172" i="6"/>
  <c r="AC172" i="6"/>
  <c r="AB172" i="6"/>
  <c r="Z173" i="6"/>
  <c r="AA173" i="6"/>
  <c r="AC173" i="6"/>
  <c r="AB173" i="6"/>
  <c r="Z174" i="6"/>
  <c r="AA174" i="6"/>
  <c r="AC174" i="6"/>
  <c r="AB174" i="6"/>
  <c r="Z175" i="6"/>
  <c r="AA175" i="6"/>
  <c r="AC175" i="6"/>
  <c r="AB175" i="6"/>
  <c r="Z176" i="6"/>
  <c r="AA176" i="6"/>
  <c r="AC176" i="6"/>
  <c r="AB176" i="6"/>
  <c r="Z177" i="6"/>
  <c r="AA177" i="6"/>
  <c r="AC177" i="6"/>
  <c r="AB177" i="6"/>
  <c r="Z178" i="6"/>
  <c r="AA178" i="6"/>
  <c r="AC178" i="6"/>
  <c r="AB178" i="6"/>
  <c r="Z179" i="6"/>
  <c r="AA179" i="6"/>
  <c r="AC179" i="6"/>
  <c r="AB179" i="6"/>
  <c r="Z180" i="6"/>
  <c r="AA180" i="6"/>
  <c r="AC180" i="6"/>
  <c r="AB180" i="6"/>
  <c r="Z181" i="6"/>
  <c r="AA181" i="6"/>
  <c r="AC181" i="6"/>
  <c r="AB181" i="6"/>
  <c r="Z182" i="6"/>
  <c r="AA182" i="6"/>
  <c r="AC182" i="6"/>
  <c r="AB182" i="6"/>
  <c r="Z183" i="6"/>
  <c r="AA183" i="6"/>
  <c r="AC183" i="6"/>
  <c r="AB183" i="6"/>
  <c r="Z184" i="6"/>
  <c r="AA184" i="6"/>
  <c r="AC184" i="6"/>
  <c r="AB184" i="6"/>
  <c r="Z185" i="6"/>
  <c r="AA185" i="6"/>
  <c r="AC185" i="6"/>
  <c r="AB185" i="6"/>
  <c r="Z186" i="6"/>
  <c r="AA186" i="6"/>
  <c r="AC186" i="6"/>
  <c r="AB186" i="6"/>
  <c r="Z187" i="6"/>
  <c r="AA187" i="6"/>
  <c r="AC187" i="6"/>
  <c r="AB187" i="6"/>
  <c r="Z188" i="6"/>
  <c r="AA188" i="6"/>
  <c r="AC188" i="6"/>
  <c r="AB188" i="6"/>
  <c r="Z189" i="6"/>
  <c r="AA189" i="6"/>
  <c r="AC189" i="6"/>
  <c r="AB189" i="6"/>
  <c r="Z190" i="6"/>
  <c r="AA190" i="6"/>
  <c r="AC190" i="6"/>
  <c r="AB190" i="6"/>
  <c r="Z191" i="6"/>
  <c r="AA191" i="6"/>
  <c r="AC191" i="6"/>
  <c r="AB191" i="6"/>
  <c r="Z192" i="6"/>
  <c r="AA192" i="6"/>
  <c r="AC192" i="6"/>
  <c r="AB192" i="6"/>
  <c r="Z193" i="6"/>
  <c r="AA193" i="6"/>
  <c r="AC193" i="6"/>
  <c r="AB193" i="6"/>
  <c r="Z194" i="6"/>
  <c r="AA194" i="6"/>
  <c r="AC194" i="6"/>
  <c r="AB194" i="6"/>
  <c r="Z195" i="6"/>
  <c r="AA195" i="6"/>
  <c r="AC195" i="6"/>
  <c r="AB195" i="6"/>
  <c r="Z196" i="6"/>
  <c r="AA196" i="6"/>
  <c r="AC196" i="6"/>
  <c r="AB196" i="6"/>
  <c r="Z197" i="6"/>
  <c r="AA197" i="6"/>
  <c r="AC197" i="6"/>
  <c r="AB197" i="6"/>
  <c r="Z198" i="6"/>
  <c r="AA198" i="6"/>
  <c r="AC198" i="6"/>
  <c r="AB198" i="6"/>
  <c r="Z199" i="6"/>
  <c r="AA199" i="6"/>
  <c r="AC199" i="6"/>
  <c r="AB199" i="6"/>
  <c r="Z200" i="6"/>
  <c r="AA200" i="6"/>
  <c r="AC200" i="6"/>
  <c r="AB200" i="6"/>
  <c r="Z201" i="6"/>
  <c r="AA201" i="6"/>
  <c r="AC201" i="6"/>
  <c r="AB201" i="6"/>
  <c r="Z202" i="6"/>
  <c r="AA202" i="6"/>
  <c r="AC202" i="6"/>
  <c r="AB202" i="6"/>
  <c r="Z203" i="6"/>
  <c r="AA203" i="6"/>
  <c r="AC203" i="6"/>
  <c r="AB203" i="6"/>
  <c r="Z204" i="6"/>
  <c r="AA204" i="6"/>
  <c r="AC204" i="6"/>
  <c r="AB204" i="6"/>
  <c r="Z205" i="6"/>
  <c r="AA205" i="6"/>
  <c r="AC205" i="6"/>
  <c r="AB205" i="6"/>
  <c r="Z206" i="6"/>
  <c r="AA206" i="6"/>
  <c r="AC206" i="6"/>
  <c r="AB206" i="6"/>
  <c r="Z207" i="6"/>
  <c r="AA207" i="6"/>
  <c r="AC207" i="6"/>
  <c r="AB207" i="6"/>
  <c r="AA208" i="6"/>
  <c r="AC208" i="6"/>
  <c r="Z209" i="6"/>
  <c r="AA209" i="6"/>
  <c r="AC209" i="6"/>
  <c r="AB209" i="6"/>
  <c r="Z210" i="6"/>
  <c r="AA210" i="6"/>
  <c r="AC210" i="6"/>
  <c r="AB210" i="6"/>
  <c r="Z211" i="6"/>
  <c r="AA211" i="6"/>
  <c r="AC211" i="6"/>
  <c r="AB211" i="6"/>
  <c r="Z212" i="6"/>
  <c r="AA212" i="6"/>
  <c r="AC212" i="6"/>
  <c r="AB212" i="6"/>
  <c r="Z213" i="6"/>
  <c r="AA213" i="6"/>
  <c r="AC213" i="6"/>
  <c r="AB213" i="6"/>
  <c r="Z214" i="6"/>
  <c r="AA214" i="6"/>
  <c r="AC214" i="6"/>
  <c r="AB214" i="6"/>
  <c r="AA215" i="6"/>
  <c r="AC215" i="6"/>
  <c r="Z216" i="6"/>
  <c r="AA216" i="6"/>
  <c r="AC216" i="6"/>
  <c r="AB216" i="6"/>
  <c r="Z217" i="6"/>
  <c r="AA217" i="6"/>
  <c r="AC217" i="6"/>
  <c r="AB217" i="6"/>
  <c r="Z218" i="6"/>
  <c r="AA218" i="6"/>
  <c r="AC218" i="6"/>
  <c r="AB218" i="6"/>
  <c r="Z219" i="6"/>
  <c r="AA219" i="6"/>
  <c r="AC219" i="6"/>
  <c r="AB219" i="6"/>
  <c r="Z220" i="6"/>
  <c r="AA220" i="6"/>
  <c r="AC220" i="6"/>
  <c r="AB220" i="6"/>
  <c r="Z221" i="6"/>
  <c r="AA221" i="6"/>
  <c r="AC221" i="6"/>
  <c r="AB221" i="6"/>
  <c r="AA222" i="6"/>
  <c r="AC222" i="6"/>
  <c r="Z223" i="6"/>
  <c r="AA223" i="6"/>
  <c r="AC223" i="6"/>
  <c r="AB223" i="6"/>
  <c r="Z224" i="6"/>
  <c r="AA224" i="6"/>
  <c r="AC224" i="6"/>
  <c r="AB224" i="6"/>
  <c r="Z225" i="6"/>
  <c r="AA225" i="6"/>
  <c r="AC225" i="6"/>
  <c r="AB225" i="6"/>
  <c r="Z226" i="6"/>
  <c r="AA226" i="6"/>
  <c r="AC226" i="6"/>
  <c r="AB226" i="6"/>
  <c r="Z227" i="6"/>
  <c r="AA227" i="6"/>
  <c r="AC227" i="6"/>
  <c r="AB227" i="6"/>
  <c r="Z228" i="6"/>
  <c r="AA228" i="6"/>
  <c r="AC228" i="6"/>
  <c r="AB228" i="6"/>
  <c r="Z229" i="6"/>
  <c r="AA229" i="6"/>
  <c r="AC229" i="6"/>
  <c r="AB229" i="6"/>
  <c r="Z230" i="6"/>
  <c r="AA230" i="6"/>
  <c r="AC230" i="6"/>
  <c r="AB230" i="6"/>
  <c r="Z231" i="6"/>
  <c r="AA231" i="6"/>
  <c r="AC231" i="6"/>
  <c r="AB231" i="6"/>
  <c r="Z232" i="6"/>
  <c r="AA232" i="6"/>
  <c r="AC232" i="6"/>
  <c r="AB232" i="6"/>
  <c r="Z233" i="6"/>
  <c r="AA233" i="6"/>
  <c r="AC233" i="6"/>
  <c r="AB233" i="6"/>
  <c r="Z234" i="6"/>
  <c r="AA234" i="6"/>
  <c r="AC234" i="6"/>
  <c r="AB234" i="6"/>
  <c r="Z235" i="6"/>
  <c r="AA235" i="6"/>
  <c r="AC235" i="6"/>
  <c r="AB235" i="6"/>
  <c r="Z236" i="6"/>
  <c r="AA236" i="6"/>
  <c r="AC236" i="6"/>
  <c r="AB236" i="6"/>
  <c r="Z237" i="6"/>
  <c r="AA237" i="6"/>
  <c r="AC237" i="6"/>
  <c r="AB237" i="6"/>
  <c r="Z238" i="6"/>
  <c r="AA238" i="6"/>
  <c r="AC238" i="6"/>
  <c r="AB238" i="6"/>
  <c r="Z239" i="6"/>
  <c r="AA239" i="6"/>
  <c r="AC239" i="6"/>
  <c r="AB239" i="6"/>
  <c r="Z240" i="6"/>
  <c r="AA240" i="6"/>
  <c r="AC240" i="6"/>
  <c r="AB240" i="6"/>
  <c r="Z241" i="6"/>
  <c r="AA241" i="6"/>
  <c r="AC241" i="6"/>
  <c r="AB241" i="6"/>
  <c r="Z242" i="6"/>
  <c r="AA242" i="6"/>
  <c r="AC242" i="6"/>
  <c r="AB242" i="6"/>
  <c r="Z243" i="6"/>
  <c r="AA243" i="6"/>
  <c r="AC243" i="6"/>
  <c r="AB243" i="6"/>
  <c r="Z244" i="6"/>
  <c r="AA244" i="6"/>
  <c r="AC244" i="6"/>
  <c r="AB244" i="6"/>
  <c r="Z245" i="6"/>
  <c r="AA245" i="6"/>
  <c r="AC245" i="6"/>
  <c r="AB245" i="6"/>
  <c r="Z246" i="6"/>
  <c r="AA246" i="6"/>
  <c r="AC246" i="6"/>
  <c r="AB246" i="6"/>
  <c r="Z247" i="6"/>
  <c r="AA247" i="6"/>
  <c r="AC247" i="6"/>
  <c r="AB247" i="6"/>
  <c r="Z248" i="6"/>
  <c r="AA248" i="6"/>
  <c r="AC248" i="6"/>
  <c r="AB248" i="6"/>
  <c r="Z249" i="6"/>
  <c r="AA249" i="6"/>
  <c r="AC249" i="6"/>
  <c r="AB249" i="6"/>
  <c r="Z250" i="6"/>
  <c r="AA250" i="6"/>
  <c r="AC250" i="6"/>
  <c r="AB250" i="6"/>
  <c r="Z251" i="6"/>
  <c r="AA251" i="6"/>
  <c r="AC251" i="6"/>
  <c r="AB251" i="6"/>
  <c r="Z252" i="6"/>
  <c r="AA252" i="6"/>
  <c r="AC252" i="6"/>
  <c r="AB252" i="6"/>
  <c r="Z253" i="6"/>
  <c r="AA253" i="6"/>
  <c r="AC253" i="6"/>
  <c r="AB253" i="6"/>
  <c r="Z254" i="6"/>
  <c r="AA254" i="6"/>
  <c r="AC254" i="6"/>
  <c r="AB254" i="6"/>
  <c r="Z255" i="6"/>
  <c r="AA255" i="6"/>
  <c r="AC255" i="6"/>
  <c r="AB255" i="6"/>
  <c r="Z256" i="6"/>
  <c r="AA256" i="6"/>
  <c r="AC256" i="6"/>
  <c r="AB256" i="6"/>
  <c r="Z257" i="6"/>
  <c r="AA257" i="6"/>
  <c r="AC257" i="6"/>
  <c r="AB257" i="6"/>
  <c r="Z258" i="6"/>
  <c r="AA258" i="6"/>
  <c r="AC258" i="6"/>
  <c r="AB258" i="6"/>
  <c r="Z259" i="6"/>
  <c r="AA259" i="6"/>
  <c r="AC259" i="6"/>
  <c r="AB259" i="6"/>
  <c r="Z260" i="6"/>
  <c r="AA260" i="6"/>
  <c r="AC260" i="6"/>
  <c r="AB260" i="6"/>
  <c r="Z261" i="6"/>
  <c r="AA261" i="6"/>
  <c r="AC261" i="6"/>
  <c r="AB261" i="6"/>
  <c r="Z262" i="6"/>
  <c r="AA262" i="6"/>
  <c r="AC262" i="6"/>
  <c r="AB262" i="6"/>
  <c r="Z263" i="6"/>
  <c r="AA263" i="6"/>
  <c r="AC263" i="6"/>
  <c r="AB263" i="6"/>
  <c r="Z264" i="6"/>
  <c r="AA264" i="6"/>
  <c r="AC264" i="6"/>
  <c r="AB264" i="6"/>
  <c r="Z265" i="6"/>
  <c r="AA265" i="6"/>
  <c r="AC265" i="6"/>
  <c r="AB265" i="6"/>
  <c r="Z266" i="6"/>
  <c r="AA266" i="6"/>
  <c r="AC266" i="6"/>
  <c r="AB266" i="6"/>
  <c r="Z267" i="6"/>
  <c r="AA267" i="6"/>
  <c r="AC267" i="6"/>
  <c r="AB267" i="6"/>
  <c r="Z268" i="6"/>
  <c r="AA268" i="6"/>
  <c r="AC268" i="6"/>
  <c r="AB268" i="6"/>
  <c r="Z269" i="6"/>
  <c r="AA269" i="6"/>
  <c r="AC269" i="6"/>
  <c r="AB269" i="6"/>
  <c r="Z270" i="6"/>
  <c r="AA270" i="6"/>
  <c r="AB270" i="6"/>
  <c r="Z271" i="6"/>
  <c r="AA271" i="6"/>
  <c r="AC271" i="6"/>
  <c r="AB271" i="6"/>
  <c r="Z272" i="6"/>
  <c r="AA272" i="6"/>
  <c r="B272" i="6"/>
  <c r="AB272" i="6"/>
  <c r="Z273" i="6"/>
  <c r="AA273" i="6"/>
  <c r="AB273" i="6"/>
  <c r="Z274" i="6"/>
  <c r="AA274" i="6"/>
  <c r="AC274" i="6"/>
  <c r="AB274" i="6"/>
  <c r="Z275" i="6"/>
  <c r="AA275" i="6"/>
  <c r="AC275" i="6"/>
  <c r="AB275" i="6"/>
  <c r="AA276" i="6"/>
  <c r="AC276" i="6"/>
  <c r="AB276" i="6"/>
  <c r="Z277" i="6"/>
  <c r="AA277" i="6"/>
  <c r="AC277" i="6"/>
  <c r="AB277" i="6"/>
  <c r="AA278" i="6"/>
  <c r="AC278" i="6"/>
  <c r="Z279" i="6"/>
  <c r="AA279" i="6"/>
  <c r="AC279" i="6"/>
  <c r="AB279" i="6"/>
  <c r="Z280" i="6"/>
  <c r="AA280" i="6"/>
  <c r="AC280" i="6"/>
  <c r="AB280" i="6"/>
  <c r="Z281" i="6"/>
  <c r="AA281" i="6"/>
  <c r="AC281" i="6"/>
  <c r="AB281" i="6"/>
  <c r="Z282" i="6"/>
  <c r="AA282" i="6"/>
  <c r="AC282" i="6"/>
  <c r="AB282" i="6"/>
  <c r="Z283" i="6"/>
  <c r="AA283" i="6"/>
  <c r="AC283" i="6"/>
  <c r="AB283" i="6"/>
  <c r="Z284" i="6"/>
  <c r="AA284" i="6"/>
  <c r="AB284" i="6"/>
  <c r="Z285" i="6"/>
  <c r="AA285" i="6"/>
  <c r="AB285" i="6"/>
  <c r="Z322" i="6"/>
  <c r="AA322" i="6"/>
  <c r="AC322" i="6"/>
  <c r="AB322" i="6"/>
  <c r="Z323" i="6"/>
  <c r="AA323" i="6"/>
  <c r="AC323" i="6"/>
  <c r="AB323" i="6"/>
  <c r="Z324" i="6"/>
  <c r="AA324" i="6"/>
  <c r="AC324" i="6"/>
  <c r="AB324" i="6"/>
  <c r="Z325" i="6"/>
  <c r="AA325" i="6"/>
  <c r="AC325" i="6"/>
  <c r="AB325" i="6"/>
  <c r="Z326" i="6"/>
  <c r="AA326" i="6"/>
  <c r="AC326" i="6"/>
  <c r="AB326" i="6"/>
  <c r="Z327" i="6"/>
  <c r="AA327" i="6"/>
  <c r="AC327" i="6"/>
  <c r="AB327" i="6"/>
  <c r="Z328" i="6"/>
  <c r="AA328" i="6"/>
  <c r="AC328" i="6"/>
  <c r="AB328" i="6"/>
  <c r="Z329" i="6"/>
  <c r="AA329" i="6"/>
  <c r="AC329" i="6"/>
  <c r="AB329" i="6"/>
  <c r="Z330" i="6"/>
  <c r="AA330" i="6"/>
  <c r="AC330" i="6"/>
  <c r="AB330" i="6"/>
  <c r="Z331" i="6"/>
  <c r="AA331" i="6"/>
  <c r="AC331" i="6"/>
  <c r="AB331" i="6"/>
  <c r="Z332" i="6"/>
  <c r="AA332" i="6"/>
  <c r="AC332" i="6"/>
  <c r="AB332" i="6"/>
  <c r="Z333" i="6"/>
  <c r="AA333" i="6"/>
  <c r="AC333" i="6"/>
  <c r="AB333" i="6"/>
  <c r="Z334" i="6"/>
  <c r="AA334" i="6"/>
  <c r="AC334" i="6"/>
  <c r="AB334" i="6"/>
  <c r="Z335" i="6"/>
  <c r="AA335" i="6"/>
  <c r="AC335" i="6"/>
  <c r="AB335" i="6"/>
  <c r="Z336" i="6"/>
  <c r="AA336" i="6"/>
  <c r="AC336" i="6"/>
  <c r="AB336" i="6"/>
  <c r="Z337" i="6"/>
  <c r="AA337" i="6"/>
  <c r="AC337" i="6"/>
  <c r="AB337" i="6"/>
  <c r="Z338" i="6"/>
  <c r="AA338" i="6"/>
  <c r="AC338" i="6"/>
  <c r="AB338" i="6"/>
  <c r="Z339" i="6"/>
  <c r="AA339" i="6"/>
  <c r="AC339" i="6"/>
  <c r="AB339" i="6"/>
  <c r="Z340" i="6"/>
  <c r="AA340" i="6"/>
  <c r="AC340" i="6"/>
  <c r="AB340" i="6"/>
  <c r="Z341" i="6"/>
  <c r="AA341" i="6"/>
  <c r="AC341" i="6"/>
  <c r="AB341" i="6"/>
  <c r="Z342" i="6"/>
  <c r="AA342" i="6"/>
  <c r="AC342" i="6"/>
  <c r="AB342" i="6"/>
  <c r="Z343" i="6"/>
  <c r="AA343" i="6"/>
  <c r="AC343" i="6"/>
  <c r="AB343" i="6"/>
  <c r="Z344" i="6"/>
  <c r="AA344" i="6"/>
  <c r="AC344" i="6"/>
  <c r="AB344" i="6"/>
  <c r="Z345" i="6"/>
  <c r="AA345" i="6"/>
  <c r="AC345" i="6"/>
  <c r="AB345" i="6"/>
  <c r="Z346" i="6"/>
  <c r="AA346" i="6"/>
  <c r="AC346" i="6"/>
  <c r="AB346" i="6"/>
  <c r="Z347" i="6"/>
  <c r="AA347" i="6"/>
  <c r="AC347" i="6"/>
  <c r="AB347" i="6"/>
  <c r="Z348" i="6"/>
  <c r="AA348" i="6"/>
  <c r="AC348" i="6"/>
  <c r="AB348" i="6"/>
  <c r="Z349" i="6"/>
  <c r="AA349" i="6"/>
  <c r="AC349" i="6"/>
  <c r="AB349" i="6"/>
  <c r="Z350" i="6"/>
  <c r="AA350" i="6"/>
  <c r="AC350" i="6"/>
  <c r="AB350" i="6"/>
  <c r="Z351" i="6"/>
  <c r="AA351" i="6"/>
  <c r="AC351" i="6"/>
  <c r="AB351" i="6"/>
  <c r="Z352" i="6"/>
  <c r="AA352" i="6"/>
  <c r="AC352" i="6"/>
  <c r="AB352" i="6"/>
  <c r="Z353" i="6"/>
  <c r="AA353" i="6"/>
  <c r="AC353" i="6"/>
  <c r="AB353" i="6"/>
  <c r="Z354" i="6"/>
  <c r="AA354" i="6"/>
  <c r="AC354" i="6"/>
  <c r="AB354" i="6"/>
  <c r="Z355" i="6"/>
  <c r="AA355" i="6"/>
  <c r="AC355" i="6"/>
  <c r="AB355" i="6"/>
  <c r="Z356" i="6"/>
  <c r="AA356" i="6"/>
  <c r="AC356" i="6"/>
  <c r="AB356" i="6"/>
  <c r="Z357" i="6"/>
  <c r="AA357" i="6"/>
  <c r="AC357" i="6"/>
  <c r="AB357" i="6"/>
  <c r="Z358" i="6"/>
  <c r="AA358" i="6"/>
  <c r="AC358" i="6"/>
  <c r="AB358" i="6"/>
  <c r="Z359" i="6"/>
  <c r="AA359" i="6"/>
  <c r="AC359" i="6"/>
  <c r="AB359" i="6"/>
  <c r="Z360" i="6"/>
  <c r="AA360" i="6"/>
  <c r="AC360" i="6"/>
  <c r="AB360" i="6"/>
  <c r="Z361" i="6"/>
  <c r="AA361" i="6"/>
  <c r="AC361" i="6"/>
  <c r="AB361" i="6"/>
  <c r="Z362" i="6"/>
  <c r="AA362" i="6"/>
  <c r="AC362" i="6"/>
  <c r="AB362" i="6"/>
  <c r="Z363" i="6"/>
  <c r="AA363" i="6"/>
  <c r="AC363" i="6"/>
  <c r="AB363" i="6"/>
  <c r="Z364" i="6"/>
  <c r="AA364" i="6"/>
  <c r="AC364" i="6"/>
  <c r="AB364" i="6"/>
  <c r="Z365" i="6"/>
  <c r="AA365" i="6"/>
  <c r="AC365" i="6"/>
  <c r="AB365" i="6"/>
  <c r="Z366" i="6"/>
  <c r="AA366" i="6"/>
  <c r="AC366" i="6"/>
  <c r="AB366" i="6"/>
  <c r="Z367" i="6"/>
  <c r="AA367" i="6"/>
  <c r="AC367" i="6"/>
  <c r="AB367" i="6"/>
  <c r="Z368" i="6"/>
  <c r="AA368" i="6"/>
  <c r="AC368" i="6"/>
  <c r="AB368" i="6"/>
  <c r="Z369" i="6"/>
  <c r="AA369" i="6"/>
  <c r="AC369" i="6"/>
  <c r="AB369" i="6"/>
  <c r="Z370" i="6"/>
  <c r="AA370" i="6"/>
  <c r="AC370" i="6"/>
  <c r="AB370" i="6"/>
  <c r="Z371" i="6"/>
  <c r="AA371" i="6"/>
  <c r="AC371" i="6"/>
  <c r="AB371" i="6"/>
  <c r="Z372" i="6"/>
  <c r="AA372" i="6"/>
  <c r="AC372" i="6"/>
  <c r="AB372" i="6"/>
  <c r="Z373" i="6"/>
  <c r="AA373" i="6"/>
  <c r="AC373" i="6"/>
  <c r="AB373" i="6"/>
  <c r="Z374" i="6"/>
  <c r="AA374" i="6"/>
  <c r="AC374" i="6"/>
  <c r="AB374" i="6"/>
  <c r="Z375" i="6"/>
  <c r="AA375" i="6"/>
  <c r="AC375" i="6"/>
  <c r="AB375" i="6"/>
  <c r="Z376" i="6"/>
  <c r="AA376" i="6"/>
  <c r="AC376" i="6"/>
  <c r="AB376" i="6"/>
  <c r="Z377" i="6"/>
  <c r="AA377" i="6"/>
  <c r="AC377" i="6"/>
  <c r="AB377" i="6"/>
  <c r="Z378" i="6"/>
  <c r="AA378" i="6"/>
  <c r="AC378" i="6"/>
  <c r="AB378" i="6"/>
  <c r="Z379" i="6"/>
  <c r="AA379" i="6"/>
  <c r="AC379" i="6"/>
  <c r="AB379" i="6"/>
  <c r="Z380" i="6"/>
  <c r="AA380" i="6"/>
  <c r="AC380" i="6"/>
  <c r="AB380" i="6"/>
  <c r="Z381" i="6"/>
  <c r="AA381" i="6"/>
  <c r="AC381" i="6"/>
  <c r="AB381" i="6"/>
  <c r="Z382" i="6"/>
  <c r="AA382" i="6"/>
  <c r="AC382" i="6"/>
  <c r="AB382" i="6"/>
  <c r="Z383" i="6"/>
  <c r="AA383" i="6"/>
  <c r="AC383" i="6"/>
  <c r="AB383" i="6"/>
  <c r="Z384" i="6"/>
  <c r="AA384" i="6"/>
  <c r="AC384" i="6"/>
  <c r="AB384" i="6"/>
  <c r="Z385" i="6"/>
  <c r="AA385" i="6"/>
  <c r="AC385" i="6"/>
  <c r="AB385" i="6"/>
  <c r="Z386" i="6"/>
  <c r="AA386" i="6"/>
  <c r="AC386" i="6"/>
  <c r="AB386" i="6"/>
  <c r="Z387" i="6"/>
  <c r="AA387" i="6"/>
  <c r="AC387" i="6"/>
  <c r="AB387" i="6"/>
  <c r="Z388" i="6"/>
  <c r="AA388" i="6"/>
  <c r="AC388" i="6"/>
  <c r="AB388" i="6"/>
  <c r="Z389" i="6"/>
  <c r="AA389" i="6"/>
  <c r="AC389" i="6"/>
  <c r="AB389" i="6"/>
  <c r="Z390" i="6"/>
  <c r="AA390" i="6"/>
  <c r="AC390" i="6"/>
  <c r="AB390" i="6"/>
  <c r="Z391" i="6"/>
  <c r="AA391" i="6"/>
  <c r="AC391" i="6"/>
  <c r="AB391" i="6"/>
  <c r="Z392" i="6"/>
  <c r="AA392" i="6"/>
  <c r="AC392" i="6"/>
  <c r="AB392" i="6"/>
  <c r="Z393" i="6"/>
  <c r="AA393" i="6"/>
  <c r="AC393" i="6"/>
  <c r="AB393" i="6"/>
  <c r="Z394" i="6"/>
  <c r="AA394" i="6"/>
  <c r="AC394" i="6"/>
  <c r="AB394" i="6"/>
  <c r="Z395" i="6"/>
  <c r="AA395" i="6"/>
  <c r="AC395" i="6"/>
  <c r="AB395" i="6"/>
  <c r="Z396" i="6"/>
  <c r="AA396" i="6"/>
  <c r="AC396" i="6"/>
  <c r="AB396" i="6"/>
  <c r="Z397" i="6"/>
  <c r="AA397" i="6"/>
  <c r="AC397" i="6"/>
  <c r="AB397" i="6"/>
  <c r="Z398" i="6"/>
  <c r="AA398" i="6"/>
  <c r="AC398" i="6"/>
  <c r="AB398" i="6"/>
  <c r="Z399" i="6"/>
  <c r="AA399" i="6"/>
  <c r="AC399" i="6"/>
  <c r="AB399" i="6"/>
  <c r="Z400" i="6"/>
  <c r="AA400" i="6"/>
  <c r="AC400" i="6"/>
  <c r="AB400" i="6"/>
  <c r="Z401" i="6"/>
  <c r="AA401" i="6"/>
  <c r="AC401" i="6"/>
  <c r="AB401" i="6"/>
  <c r="Z402" i="6"/>
  <c r="AA402" i="6"/>
  <c r="AC402" i="6"/>
  <c r="AB402" i="6"/>
  <c r="Z403" i="6"/>
  <c r="AA403" i="6"/>
  <c r="AC403" i="6"/>
  <c r="AB403" i="6"/>
  <c r="Z404" i="6"/>
  <c r="AA404" i="6"/>
  <c r="AB404" i="6"/>
  <c r="Z405" i="6"/>
  <c r="AA405" i="6"/>
  <c r="AC405" i="6"/>
  <c r="AB405" i="6"/>
  <c r="C272" i="6"/>
  <c r="C277" i="6"/>
  <c r="C276" i="6"/>
  <c r="B287" i="6"/>
  <c r="B295" i="6"/>
  <c r="B297" i="6"/>
  <c r="B294" i="6"/>
  <c r="Z288" i="6"/>
  <c r="B288" i="6"/>
  <c r="B292" i="6"/>
  <c r="B291" i="6"/>
  <c r="B290" i="6"/>
  <c r="B289" i="6"/>
  <c r="B296" i="6"/>
  <c r="Z278" i="6"/>
  <c r="B293" i="6"/>
  <c r="B286" i="6"/>
  <c r="AC286" i="6"/>
  <c r="B277" i="6"/>
  <c r="B276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82" i="6"/>
  <c r="C387" i="6"/>
  <c r="C274" i="6"/>
  <c r="B355" i="6"/>
  <c r="B359" i="6"/>
  <c r="B356" i="6"/>
  <c r="B357" i="6"/>
  <c r="B358" i="6"/>
  <c r="B360" i="6"/>
  <c r="B367" i="6"/>
  <c r="B371" i="6"/>
  <c r="B368" i="6"/>
  <c r="B361" i="6"/>
  <c r="B365" i="6"/>
  <c r="B369" i="6"/>
  <c r="B362" i="6"/>
  <c r="B366" i="6"/>
  <c r="B370" i="6"/>
  <c r="B363" i="6"/>
  <c r="B364" i="6"/>
  <c r="B382" i="6"/>
  <c r="B387" i="6"/>
  <c r="B274" i="6"/>
  <c r="C285" i="6"/>
  <c r="C284" i="6"/>
  <c r="C271" i="6"/>
  <c r="X283" i="6"/>
  <c r="C283" i="6"/>
  <c r="X282" i="6"/>
  <c r="C282" i="6"/>
  <c r="X281" i="6"/>
  <c r="C281" i="6"/>
  <c r="X280" i="6"/>
  <c r="C280" i="6"/>
  <c r="X279" i="6"/>
  <c r="C279" i="6"/>
  <c r="C278" i="6"/>
  <c r="C275" i="6"/>
  <c r="C273" i="6"/>
  <c r="B270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O222" i="6"/>
  <c r="C222" i="6"/>
  <c r="C221" i="6"/>
  <c r="C220" i="6"/>
  <c r="C219" i="6"/>
  <c r="C218" i="6"/>
  <c r="C217" i="6"/>
  <c r="C216" i="6"/>
  <c r="O215" i="6"/>
  <c r="C215" i="6"/>
  <c r="C214" i="6"/>
  <c r="C213" i="6"/>
  <c r="C212" i="6"/>
  <c r="C211" i="6"/>
  <c r="C210" i="6"/>
  <c r="C209" i="6"/>
  <c r="O208" i="6"/>
  <c r="C208" i="6"/>
  <c r="C207" i="6"/>
  <c r="C206" i="6"/>
  <c r="C205" i="6"/>
  <c r="AB208" i="6"/>
  <c r="Z208" i="6"/>
  <c r="B208" i="6"/>
  <c r="AB222" i="6"/>
  <c r="Z222" i="6"/>
  <c r="B222" i="6"/>
  <c r="Z215" i="6"/>
  <c r="AB215" i="6"/>
  <c r="B256" i="6"/>
  <c r="B284" i="6"/>
  <c r="B285" i="6"/>
  <c r="B271" i="6"/>
  <c r="B247" i="6"/>
  <c r="B281" i="6"/>
  <c r="B282" i="6"/>
  <c r="B207" i="6"/>
  <c r="B209" i="6"/>
  <c r="B219" i="6"/>
  <c r="B225" i="6"/>
  <c r="B230" i="6"/>
  <c r="B239" i="6"/>
  <c r="B211" i="6"/>
  <c r="B235" i="6"/>
  <c r="B212" i="6"/>
  <c r="B232" i="6"/>
  <c r="B237" i="6"/>
  <c r="B242" i="6"/>
  <c r="B254" i="6"/>
  <c r="B213" i="6"/>
  <c r="B214" i="6"/>
  <c r="B255" i="6"/>
  <c r="B249" i="6"/>
  <c r="B278" i="6"/>
  <c r="B273" i="6"/>
  <c r="B210" i="6"/>
  <c r="B229" i="6"/>
  <c r="B251" i="6"/>
  <c r="B257" i="6"/>
  <c r="B205" i="6"/>
  <c r="B224" i="6"/>
  <c r="B243" i="6"/>
  <c r="B223" i="6"/>
  <c r="B227" i="6"/>
  <c r="B233" i="6"/>
  <c r="B240" i="6"/>
  <c r="B246" i="6"/>
  <c r="B248" i="6"/>
  <c r="B250" i="6"/>
  <c r="B206" i="6"/>
  <c r="B228" i="6"/>
  <c r="B234" i="6"/>
  <c r="B241" i="6"/>
  <c r="B218" i="6"/>
  <c r="B217" i="6"/>
  <c r="B253" i="6"/>
  <c r="B279" i="6"/>
  <c r="B280" i="6"/>
  <c r="B220" i="6"/>
  <c r="B221" i="6"/>
  <c r="B231" i="6"/>
  <c r="B238" i="6"/>
  <c r="B283" i="6"/>
  <c r="B216" i="6"/>
  <c r="B226" i="6"/>
  <c r="B236" i="6"/>
  <c r="B244" i="6"/>
  <c r="B245" i="6"/>
  <c r="B252" i="6"/>
  <c r="B275" i="6"/>
  <c r="B258" i="6"/>
  <c r="B215" i="6"/>
  <c r="B259" i="6"/>
  <c r="B260" i="6"/>
  <c r="B261" i="6"/>
  <c r="B262" i="6"/>
  <c r="B263" i="6"/>
  <c r="B264" i="6"/>
  <c r="B265" i="6"/>
  <c r="B266" i="6"/>
  <c r="B267" i="6"/>
  <c r="B268" i="6"/>
  <c r="B269" i="6"/>
  <c r="E6" i="15"/>
  <c r="E7" i="15"/>
  <c r="E8" i="15"/>
  <c r="E17" i="15"/>
  <c r="E9" i="15"/>
  <c r="E10" i="15"/>
  <c r="E11" i="15"/>
  <c r="E12" i="15"/>
  <c r="E13" i="15"/>
  <c r="E14" i="15"/>
  <c r="E15" i="15"/>
  <c r="E16" i="15"/>
  <c r="E5" i="15"/>
  <c r="E18" i="15"/>
  <c r="E19" i="15"/>
  <c r="E20" i="15"/>
  <c r="E21" i="15"/>
  <c r="E22" i="15"/>
  <c r="E23" i="15"/>
  <c r="E24" i="15"/>
  <c r="E25" i="15"/>
  <c r="B8" i="1"/>
  <c r="C379" i="6"/>
  <c r="C378" i="6"/>
  <c r="CH3" i="7"/>
  <c r="CH2" i="7"/>
  <c r="Q9" i="5"/>
  <c r="H4" i="7"/>
  <c r="CH4" i="7"/>
  <c r="CF3" i="7"/>
  <c r="CF2" i="7"/>
  <c r="CG3" i="7"/>
  <c r="CG2" i="7"/>
  <c r="CG4" i="7"/>
  <c r="CE3" i="7"/>
  <c r="CE2" i="7"/>
  <c r="CE4" i="7"/>
  <c r="C390" i="6"/>
  <c r="C389" i="6"/>
  <c r="C388" i="6"/>
  <c r="C303" i="6"/>
  <c r="B303" i="6"/>
  <c r="C302" i="6"/>
  <c r="B302" i="6"/>
  <c r="C301" i="6"/>
  <c r="B301" i="6"/>
  <c r="C300" i="6"/>
  <c r="B300" i="6"/>
  <c r="C299" i="6"/>
  <c r="B299" i="6"/>
  <c r="C298" i="6"/>
  <c r="B298" i="6"/>
  <c r="C110" i="6"/>
  <c r="C109" i="6"/>
  <c r="W130" i="6"/>
  <c r="C130" i="6"/>
  <c r="C178" i="6"/>
  <c r="C1" i="8"/>
  <c r="A8" i="5"/>
  <c r="J1" i="8"/>
  <c r="D1" i="8"/>
  <c r="B3" i="8"/>
  <c r="B2" i="8"/>
  <c r="D3" i="8"/>
  <c r="E3" i="8"/>
  <c r="E2" i="8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B2" i="13"/>
  <c r="A12" i="13"/>
  <c r="A2" i="13"/>
  <c r="E1" i="13"/>
  <c r="E2" i="13"/>
  <c r="D1" i="13"/>
  <c r="D2" i="13"/>
  <c r="C1" i="13"/>
  <c r="C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C18" i="5"/>
  <c r="R17" i="5"/>
  <c r="C17" i="5"/>
  <c r="R16" i="5"/>
  <c r="C16" i="5"/>
  <c r="R15" i="5"/>
  <c r="C15" i="5"/>
  <c r="R14" i="5"/>
  <c r="C14" i="5"/>
  <c r="T13" i="5"/>
  <c r="R13" i="5"/>
  <c r="C13" i="5"/>
  <c r="R12" i="5"/>
  <c r="C12" i="5"/>
  <c r="R11" i="5"/>
  <c r="C11" i="5"/>
  <c r="R10" i="5"/>
  <c r="C10" i="5"/>
  <c r="R9" i="5"/>
  <c r="C9" i="5"/>
  <c r="R8" i="5"/>
  <c r="C8" i="5"/>
  <c r="R7" i="5"/>
  <c r="C7" i="5"/>
  <c r="A7" i="5"/>
  <c r="R6" i="5"/>
  <c r="C6" i="5"/>
  <c r="A6" i="5"/>
  <c r="R5" i="5"/>
  <c r="C5" i="5"/>
  <c r="A5" i="5"/>
  <c r="R4" i="5"/>
  <c r="C4" i="5"/>
  <c r="A4" i="5"/>
  <c r="R3" i="5"/>
  <c r="A2" i="5"/>
  <c r="N3" i="5"/>
  <c r="C3" i="5"/>
  <c r="A3" i="5"/>
  <c r="R2" i="5"/>
  <c r="C2" i="5"/>
  <c r="E1" i="5"/>
  <c r="C1" i="5"/>
  <c r="A25" i="15"/>
  <c r="A19" i="15"/>
  <c r="A16" i="15"/>
  <c r="A9" i="15"/>
  <c r="A4" i="15"/>
  <c r="BF3" i="8"/>
  <c r="BF2" i="8"/>
  <c r="BE3" i="8"/>
  <c r="BE2" i="8"/>
  <c r="BD3" i="8"/>
  <c r="BD2" i="8"/>
  <c r="BC3" i="8"/>
  <c r="BC2" i="8"/>
  <c r="BB3" i="8"/>
  <c r="BB2" i="8"/>
  <c r="BA3" i="8"/>
  <c r="BA2" i="8"/>
  <c r="AZ3" i="8"/>
  <c r="AY3" i="8"/>
  <c r="AY2" i="8"/>
  <c r="AX3" i="8"/>
  <c r="AW3" i="8"/>
  <c r="AW2" i="8"/>
  <c r="AV3" i="8"/>
  <c r="AU3" i="8"/>
  <c r="AU2" i="8"/>
  <c r="AT3" i="8"/>
  <c r="AT2" i="8"/>
  <c r="AS3" i="8"/>
  <c r="AR3" i="8"/>
  <c r="AQ3" i="8"/>
  <c r="AQ2" i="8"/>
  <c r="AP3" i="8"/>
  <c r="AO3" i="8"/>
  <c r="AO2" i="8"/>
  <c r="AN3" i="8"/>
  <c r="AM3" i="8"/>
  <c r="AM2" i="8"/>
  <c r="AL3" i="8"/>
  <c r="AL2" i="8"/>
  <c r="AK3" i="8"/>
  <c r="AJ3" i="8"/>
  <c r="AJ2" i="8"/>
  <c r="AI3" i="8"/>
  <c r="AI2" i="8"/>
  <c r="AH3" i="8"/>
  <c r="AG3" i="8"/>
  <c r="AG2" i="8"/>
  <c r="AF3" i="8"/>
  <c r="AE3" i="8"/>
  <c r="AE2" i="8"/>
  <c r="AD3" i="8"/>
  <c r="AC3" i="8"/>
  <c r="AB3" i="8"/>
  <c r="AB2" i="8"/>
  <c r="AA3" i="8"/>
  <c r="AA2" i="8"/>
  <c r="Z3" i="8"/>
  <c r="Y3" i="8"/>
  <c r="Y2" i="8"/>
  <c r="X3" i="8"/>
  <c r="X2" i="8"/>
  <c r="W3" i="8"/>
  <c r="W2" i="8"/>
  <c r="V3" i="8"/>
  <c r="V2" i="8"/>
  <c r="U3" i="8"/>
  <c r="U2" i="8"/>
  <c r="T3" i="8"/>
  <c r="T2" i="8"/>
  <c r="S3" i="8"/>
  <c r="S2" i="8"/>
  <c r="R3" i="8"/>
  <c r="Q3" i="8"/>
  <c r="Q2" i="8"/>
  <c r="P3" i="8"/>
  <c r="O3" i="8"/>
  <c r="O2" i="8"/>
  <c r="N3" i="8"/>
  <c r="N2" i="8"/>
  <c r="M3" i="8"/>
  <c r="M2" i="8"/>
  <c r="L3" i="8"/>
  <c r="L2" i="8"/>
  <c r="K3" i="8"/>
  <c r="K2" i="8"/>
  <c r="J3" i="8"/>
  <c r="H3" i="8"/>
  <c r="H2" i="8"/>
  <c r="F3" i="8"/>
  <c r="G3" i="8"/>
  <c r="G2" i="8"/>
  <c r="AZ2" i="8"/>
  <c r="AX2" i="8"/>
  <c r="AV2" i="8"/>
  <c r="AS2" i="8"/>
  <c r="AR2" i="8"/>
  <c r="AP2" i="8"/>
  <c r="AN2" i="8"/>
  <c r="AK2" i="8"/>
  <c r="AH2" i="8"/>
  <c r="AF2" i="8"/>
  <c r="AD2" i="8"/>
  <c r="AC2" i="8"/>
  <c r="Z2" i="8"/>
  <c r="R2" i="8"/>
  <c r="P2" i="8"/>
  <c r="J2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I1" i="8"/>
  <c r="H1" i="8"/>
  <c r="AC272" i="6"/>
  <c r="G1" i="8"/>
  <c r="F1" i="8"/>
  <c r="E1" i="8"/>
  <c r="CI4" i="7"/>
  <c r="CC4" i="7"/>
  <c r="CA4" i="7"/>
  <c r="BY4" i="7"/>
  <c r="BV4" i="7"/>
  <c r="BT4" i="7"/>
  <c r="BS4" i="7"/>
  <c r="BR4" i="7"/>
  <c r="BQ4" i="7"/>
  <c r="BP4" i="7"/>
  <c r="BJ4" i="7"/>
  <c r="BH4" i="7"/>
  <c r="BF4" i="7"/>
  <c r="BD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G4" i="7"/>
  <c r="E4" i="7"/>
  <c r="D4" i="7"/>
  <c r="C4" i="7"/>
  <c r="B4" i="7"/>
  <c r="CI3" i="7"/>
  <c r="CI2" i="7"/>
  <c r="CD3" i="7"/>
  <c r="CD2" i="7"/>
  <c r="CC3" i="7"/>
  <c r="CB3" i="7"/>
  <c r="CB2" i="7"/>
  <c r="CA3" i="7"/>
  <c r="CA2" i="7"/>
  <c r="BZ3" i="7"/>
  <c r="BZ2" i="7"/>
  <c r="BY3" i="7"/>
  <c r="BY2" i="7"/>
  <c r="BX3" i="7"/>
  <c r="BX2" i="7"/>
  <c r="BW3" i="7"/>
  <c r="BW2" i="7"/>
  <c r="BV3" i="7"/>
  <c r="BV2" i="7"/>
  <c r="BU3" i="7"/>
  <c r="BU2" i="7"/>
  <c r="BT3" i="7"/>
  <c r="BT2" i="7"/>
  <c r="BR3" i="7"/>
  <c r="BR2" i="7"/>
  <c r="BQ3" i="7"/>
  <c r="BQ2" i="7"/>
  <c r="BO3" i="7"/>
  <c r="BP3" i="7"/>
  <c r="BP2" i="7"/>
  <c r="BN3" i="7"/>
  <c r="BN2" i="7"/>
  <c r="BM3" i="7"/>
  <c r="BM2" i="7"/>
  <c r="BL3" i="7"/>
  <c r="BL2" i="7"/>
  <c r="BK3" i="7"/>
  <c r="BK2" i="7"/>
  <c r="BI3" i="7"/>
  <c r="BJ3" i="7"/>
  <c r="BJ2" i="7"/>
  <c r="BG3" i="7"/>
  <c r="BH3" i="7"/>
  <c r="BH2" i="7"/>
  <c r="BE3" i="7"/>
  <c r="BF3" i="7"/>
  <c r="BF2" i="7"/>
  <c r="BC3" i="7"/>
  <c r="BD3" i="7"/>
  <c r="BD2" i="7"/>
  <c r="BB3" i="7"/>
  <c r="BB2" i="7"/>
  <c r="BA3" i="7"/>
  <c r="BA2" i="7"/>
  <c r="AZ3" i="7"/>
  <c r="AZ2" i="7"/>
  <c r="AY3" i="7"/>
  <c r="AY2" i="7"/>
  <c r="AX3" i="7"/>
  <c r="AX2" i="7"/>
  <c r="AW3" i="7"/>
  <c r="AW2" i="7"/>
  <c r="AV3" i="7"/>
  <c r="AV2" i="7"/>
  <c r="AU3" i="7"/>
  <c r="AU2" i="7"/>
  <c r="AT3" i="7"/>
  <c r="AT2" i="7"/>
  <c r="AS3" i="7"/>
  <c r="AS2" i="7"/>
  <c r="AR3" i="7"/>
  <c r="AR2" i="7"/>
  <c r="AQ3" i="7"/>
  <c r="AQ2" i="7"/>
  <c r="AP3" i="7"/>
  <c r="AP2" i="7"/>
  <c r="AO3" i="7"/>
  <c r="AO2" i="7"/>
  <c r="AN3" i="7"/>
  <c r="AN2" i="7"/>
  <c r="AM3" i="7"/>
  <c r="AM2" i="7"/>
  <c r="AL3" i="7"/>
  <c r="AL2" i="7"/>
  <c r="AK3" i="7"/>
  <c r="AK2" i="7"/>
  <c r="AJ3" i="7"/>
  <c r="AJ2" i="7"/>
  <c r="AI3" i="7"/>
  <c r="AI2" i="7"/>
  <c r="AH3" i="7"/>
  <c r="AH2" i="7"/>
  <c r="AG3" i="7"/>
  <c r="AG2" i="7"/>
  <c r="AF3" i="7"/>
  <c r="AE3" i="7"/>
  <c r="AE2" i="7"/>
  <c r="AD3" i="7"/>
  <c r="AD2" i="7"/>
  <c r="AC3" i="7"/>
  <c r="AC2" i="7"/>
  <c r="AB3" i="7"/>
  <c r="AB2" i="7"/>
  <c r="AA3" i="7"/>
  <c r="AA2" i="7"/>
  <c r="Z3" i="7"/>
  <c r="Z2" i="7"/>
  <c r="Y3" i="7"/>
  <c r="Y2" i="7"/>
  <c r="X3" i="7"/>
  <c r="X2" i="7"/>
  <c r="W3" i="7"/>
  <c r="W2" i="7"/>
  <c r="V3" i="7"/>
  <c r="V2" i="7"/>
  <c r="U3" i="7"/>
  <c r="U2" i="7"/>
  <c r="T3" i="7"/>
  <c r="T2" i="7"/>
  <c r="S3" i="7"/>
  <c r="S2" i="7"/>
  <c r="R3" i="7"/>
  <c r="R2" i="7"/>
  <c r="Q3" i="7"/>
  <c r="Q2" i="7"/>
  <c r="P3" i="7"/>
  <c r="P2" i="7"/>
  <c r="O3" i="7"/>
  <c r="O2" i="7"/>
  <c r="N3" i="7"/>
  <c r="N2" i="7"/>
  <c r="M3" i="7"/>
  <c r="M2" i="7"/>
  <c r="L3" i="7"/>
  <c r="L2" i="7"/>
  <c r="H3" i="7"/>
  <c r="I3" i="7"/>
  <c r="F3" i="7"/>
  <c r="G3" i="7"/>
  <c r="G2" i="7"/>
  <c r="B3" i="7"/>
  <c r="C3" i="7"/>
  <c r="CC2" i="7"/>
  <c r="AF2" i="7"/>
  <c r="H2" i="7"/>
  <c r="B416" i="6"/>
  <c r="AA415" i="6"/>
  <c r="AC415" i="6"/>
  <c r="AB415" i="6"/>
  <c r="Z415" i="6"/>
  <c r="C415" i="6"/>
  <c r="AA414" i="6"/>
  <c r="AC414" i="6"/>
  <c r="AB414" i="6"/>
  <c r="Z414" i="6"/>
  <c r="C414" i="6"/>
  <c r="AA413" i="6"/>
  <c r="AC413" i="6"/>
  <c r="AB413" i="6"/>
  <c r="Z413" i="6"/>
  <c r="C413" i="6"/>
  <c r="AA412" i="6"/>
  <c r="AC412" i="6"/>
  <c r="AB412" i="6"/>
  <c r="Z412" i="6"/>
  <c r="C412" i="6"/>
  <c r="AA411" i="6"/>
  <c r="AC411" i="6"/>
  <c r="AB411" i="6"/>
  <c r="Z411" i="6"/>
  <c r="C411" i="6"/>
  <c r="AA410" i="6"/>
  <c r="AC410" i="6"/>
  <c r="AB410" i="6"/>
  <c r="Z410" i="6"/>
  <c r="C410" i="6"/>
  <c r="AA409" i="6"/>
  <c r="AC409" i="6"/>
  <c r="AB409" i="6"/>
  <c r="Z409" i="6"/>
  <c r="C409" i="6"/>
  <c r="AA408" i="6"/>
  <c r="AC408" i="6"/>
  <c r="AB408" i="6"/>
  <c r="Z408" i="6"/>
  <c r="C408" i="6"/>
  <c r="AA407" i="6"/>
  <c r="AC407" i="6"/>
  <c r="AB407" i="6"/>
  <c r="Z407" i="6"/>
  <c r="C407" i="6"/>
  <c r="AA406" i="6"/>
  <c r="AC406" i="6"/>
  <c r="AB406" i="6"/>
  <c r="Z406" i="6"/>
  <c r="C406" i="6"/>
  <c r="C405" i="6"/>
  <c r="B404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86" i="6"/>
  <c r="C385" i="6"/>
  <c r="C384" i="6"/>
  <c r="C381" i="6"/>
  <c r="C380" i="6"/>
  <c r="C377" i="6"/>
  <c r="C376" i="6"/>
  <c r="C375" i="6"/>
  <c r="C374" i="6"/>
  <c r="C373" i="6"/>
  <c r="C372" i="6"/>
  <c r="C354" i="6"/>
  <c r="C352" i="6"/>
  <c r="C351" i="6"/>
  <c r="C350" i="6"/>
  <c r="C349" i="6"/>
  <c r="C348" i="6"/>
  <c r="B347" i="6"/>
  <c r="C347" i="6"/>
  <c r="C346" i="6"/>
  <c r="C345" i="6"/>
  <c r="C344" i="6"/>
  <c r="C343" i="6"/>
  <c r="C342" i="6"/>
  <c r="C341" i="6"/>
  <c r="C340" i="6"/>
  <c r="B339" i="6"/>
  <c r="C339" i="6"/>
  <c r="C338" i="6"/>
  <c r="C337" i="6"/>
  <c r="C336" i="6"/>
  <c r="C335" i="6"/>
  <c r="C334" i="6"/>
  <c r="C333" i="6"/>
  <c r="C332" i="6"/>
  <c r="B331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B318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W204" i="6"/>
  <c r="C204" i="6"/>
  <c r="W203" i="6"/>
  <c r="C203" i="6"/>
  <c r="W202" i="6"/>
  <c r="C202" i="6"/>
  <c r="W201" i="6"/>
  <c r="C201" i="6"/>
  <c r="W200" i="6"/>
  <c r="C200" i="6"/>
  <c r="W199" i="6"/>
  <c r="C199" i="6"/>
  <c r="C198" i="6"/>
  <c r="C197" i="6"/>
  <c r="C196" i="6"/>
  <c r="W195" i="6"/>
  <c r="C195" i="6"/>
  <c r="W194" i="6"/>
  <c r="C194" i="6"/>
  <c r="C193" i="6"/>
  <c r="C192" i="6"/>
  <c r="C191" i="6"/>
  <c r="C190" i="6"/>
  <c r="C189" i="6"/>
  <c r="C188" i="6"/>
  <c r="C187" i="6"/>
  <c r="C186" i="6"/>
  <c r="C185" i="6"/>
  <c r="W184" i="6"/>
  <c r="C184" i="6"/>
  <c r="W183" i="6"/>
  <c r="C183" i="6"/>
  <c r="W182" i="6"/>
  <c r="C182" i="6"/>
  <c r="W181" i="6"/>
  <c r="C181" i="6"/>
  <c r="W180" i="6"/>
  <c r="C180" i="6"/>
  <c r="C179" i="6"/>
  <c r="W177" i="6"/>
  <c r="C177" i="6"/>
  <c r="W176" i="6"/>
  <c r="C176" i="6"/>
  <c r="C175" i="6"/>
  <c r="C174" i="6"/>
  <c r="C173" i="6"/>
  <c r="C172" i="6"/>
  <c r="C171" i="6"/>
  <c r="W170" i="6"/>
  <c r="C170" i="6"/>
  <c r="W169" i="6"/>
  <c r="C169" i="6"/>
  <c r="W168" i="6"/>
  <c r="C168" i="6"/>
  <c r="W167" i="6"/>
  <c r="C167" i="6"/>
  <c r="W166" i="6"/>
  <c r="C166" i="6"/>
  <c r="W165" i="6"/>
  <c r="C165" i="6"/>
  <c r="W164" i="6"/>
  <c r="C164" i="6"/>
  <c r="W163" i="6"/>
  <c r="C163" i="6"/>
  <c r="C162" i="6"/>
  <c r="C161" i="6"/>
  <c r="C160" i="6"/>
  <c r="W159" i="6"/>
  <c r="C159" i="6"/>
  <c r="W158" i="6"/>
  <c r="C158" i="6"/>
  <c r="W157" i="6"/>
  <c r="C157" i="6"/>
  <c r="W156" i="6"/>
  <c r="C156" i="6"/>
  <c r="W155" i="6"/>
  <c r="C155" i="6"/>
  <c r="W154" i="6"/>
  <c r="C154" i="6"/>
  <c r="W153" i="6"/>
  <c r="C153" i="6"/>
  <c r="W152" i="6"/>
  <c r="C152" i="6"/>
  <c r="W151" i="6"/>
  <c r="C151" i="6"/>
  <c r="W150" i="6"/>
  <c r="C150" i="6"/>
  <c r="W149" i="6"/>
  <c r="C149" i="6"/>
  <c r="C148" i="6"/>
  <c r="C147" i="6"/>
  <c r="C146" i="6"/>
  <c r="C145" i="6"/>
  <c r="C144" i="6"/>
  <c r="C143" i="6"/>
  <c r="C142" i="6"/>
  <c r="C141" i="6"/>
  <c r="W140" i="6"/>
  <c r="C140" i="6"/>
  <c r="W139" i="6"/>
  <c r="C139" i="6"/>
  <c r="W138" i="6"/>
  <c r="C138" i="6"/>
  <c r="W137" i="6"/>
  <c r="C137" i="6"/>
  <c r="W136" i="6"/>
  <c r="C136" i="6"/>
  <c r="W135" i="6"/>
  <c r="C135" i="6"/>
  <c r="W134" i="6"/>
  <c r="C134" i="6"/>
  <c r="W133" i="6"/>
  <c r="C133" i="6"/>
  <c r="W132" i="6"/>
  <c r="C132" i="6"/>
  <c r="W131" i="6"/>
  <c r="C131" i="6"/>
  <c r="W129" i="6"/>
  <c r="C129" i="6"/>
  <c r="W128" i="6"/>
  <c r="C128" i="6"/>
  <c r="W127" i="6"/>
  <c r="C127" i="6"/>
  <c r="O126" i="6"/>
  <c r="C126" i="6"/>
  <c r="W125" i="6"/>
  <c r="C125" i="6"/>
  <c r="W124" i="6"/>
  <c r="C124" i="6"/>
  <c r="W123" i="6"/>
  <c r="C123" i="6"/>
  <c r="W122" i="6"/>
  <c r="C122" i="6"/>
  <c r="W121" i="6"/>
  <c r="C121" i="6"/>
  <c r="W120" i="6"/>
  <c r="C120" i="6"/>
  <c r="W119" i="6"/>
  <c r="C119" i="6"/>
  <c r="W118" i="6"/>
  <c r="C118" i="6"/>
  <c r="W117" i="6"/>
  <c r="C117" i="6"/>
  <c r="W116" i="6"/>
  <c r="C116" i="6"/>
  <c r="W115" i="6"/>
  <c r="C115" i="6"/>
  <c r="W114" i="6"/>
  <c r="C114" i="6"/>
  <c r="W113" i="6"/>
  <c r="C113" i="6"/>
  <c r="W112" i="6"/>
  <c r="C112" i="6"/>
  <c r="W111" i="6"/>
  <c r="C111" i="6"/>
  <c r="W108" i="6"/>
  <c r="C108" i="6"/>
  <c r="W107" i="6"/>
  <c r="C107" i="6"/>
  <c r="W106" i="6"/>
  <c r="C106" i="6"/>
  <c r="W105" i="6"/>
  <c r="C105" i="6"/>
  <c r="W104" i="6"/>
  <c r="C104" i="6"/>
  <c r="W103" i="6"/>
  <c r="C103" i="6"/>
  <c r="W102" i="6"/>
  <c r="C102" i="6"/>
  <c r="W101" i="6"/>
  <c r="C101" i="6"/>
  <c r="W100" i="6"/>
  <c r="C100" i="6"/>
  <c r="W99" i="6"/>
  <c r="C99" i="6"/>
  <c r="W98" i="6"/>
  <c r="C98" i="6"/>
  <c r="W97" i="6"/>
  <c r="C97" i="6"/>
  <c r="W96" i="6"/>
  <c r="C96" i="6"/>
  <c r="W95" i="6"/>
  <c r="C95" i="6"/>
  <c r="W94" i="6"/>
  <c r="C94" i="6"/>
  <c r="W93" i="6"/>
  <c r="C93" i="6"/>
  <c r="W92" i="6"/>
  <c r="C92" i="6"/>
  <c r="W91" i="6"/>
  <c r="C91" i="6"/>
  <c r="W90" i="6"/>
  <c r="C90" i="6"/>
  <c r="W89" i="6"/>
  <c r="C89" i="6"/>
  <c r="W88" i="6"/>
  <c r="C88" i="6"/>
  <c r="W87" i="6"/>
  <c r="C87" i="6"/>
  <c r="W86" i="6"/>
  <c r="C86" i="6"/>
  <c r="W85" i="6"/>
  <c r="C85" i="6"/>
  <c r="W84" i="6"/>
  <c r="C84" i="6"/>
  <c r="W83" i="6"/>
  <c r="C83" i="6"/>
  <c r="W82" i="6"/>
  <c r="C82" i="6"/>
  <c r="W81" i="6"/>
  <c r="C81" i="6"/>
  <c r="W80" i="6"/>
  <c r="C80" i="6"/>
  <c r="W79" i="6"/>
  <c r="C79" i="6"/>
  <c r="W78" i="6"/>
  <c r="C78" i="6"/>
  <c r="W77" i="6"/>
  <c r="C77" i="6"/>
  <c r="W76" i="6"/>
  <c r="C76" i="6"/>
  <c r="W75" i="6"/>
  <c r="C75" i="6"/>
  <c r="W74" i="6"/>
  <c r="C74" i="6"/>
  <c r="W73" i="6"/>
  <c r="C73" i="6"/>
  <c r="W72" i="6"/>
  <c r="C72" i="6"/>
  <c r="W71" i="6"/>
  <c r="C71" i="6"/>
  <c r="W70" i="6"/>
  <c r="C70" i="6"/>
  <c r="W69" i="6"/>
  <c r="C69" i="6"/>
  <c r="W68" i="6"/>
  <c r="C68" i="6"/>
  <c r="W67" i="6"/>
  <c r="C67" i="6"/>
  <c r="W66" i="6"/>
  <c r="C66" i="6"/>
  <c r="W65" i="6"/>
  <c r="C65" i="6"/>
  <c r="W64" i="6"/>
  <c r="C64" i="6"/>
  <c r="W63" i="6"/>
  <c r="W62" i="6"/>
  <c r="C62" i="6"/>
  <c r="W61" i="6"/>
  <c r="C61" i="6"/>
  <c r="W60" i="6"/>
  <c r="C60" i="6"/>
  <c r="W59" i="6"/>
  <c r="C59" i="6"/>
  <c r="W58" i="6"/>
  <c r="C58" i="6"/>
  <c r="W57" i="6"/>
  <c r="C57" i="6"/>
  <c r="W56" i="6"/>
  <c r="C56" i="6"/>
  <c r="W55" i="6"/>
  <c r="C55" i="6"/>
  <c r="W54" i="6"/>
  <c r="C54" i="6"/>
  <c r="W53" i="6"/>
  <c r="C53" i="6"/>
  <c r="W52" i="6"/>
  <c r="C52" i="6"/>
  <c r="W51" i="6"/>
  <c r="C51" i="6"/>
  <c r="W50" i="6"/>
  <c r="C50" i="6"/>
  <c r="W49" i="6"/>
  <c r="C49" i="6"/>
  <c r="W48" i="6"/>
  <c r="C48" i="6"/>
  <c r="W47" i="6"/>
  <c r="C47" i="6"/>
  <c r="W46" i="6"/>
  <c r="C46" i="6"/>
  <c r="W45" i="6"/>
  <c r="C45" i="6"/>
  <c r="W44" i="6"/>
  <c r="C44" i="6"/>
  <c r="W43" i="6"/>
  <c r="C43" i="6"/>
  <c r="W42" i="6"/>
  <c r="C42" i="6"/>
  <c r="W41" i="6"/>
  <c r="C41" i="6"/>
  <c r="W40" i="6"/>
  <c r="C40" i="6"/>
  <c r="W39" i="6"/>
  <c r="C39" i="6"/>
  <c r="W38" i="6"/>
  <c r="C38" i="6"/>
  <c r="W37" i="6"/>
  <c r="C37" i="6"/>
  <c r="W36" i="6"/>
  <c r="C36" i="6"/>
  <c r="W35" i="6"/>
  <c r="C35" i="6"/>
  <c r="W34" i="6"/>
  <c r="C34" i="6"/>
  <c r="W33" i="6"/>
  <c r="C33" i="6"/>
  <c r="W32" i="6"/>
  <c r="C32" i="6"/>
  <c r="C31" i="6"/>
  <c r="C30" i="6"/>
  <c r="W29" i="6"/>
  <c r="C29" i="6"/>
  <c r="W28" i="6"/>
  <c r="C28" i="6"/>
  <c r="W27" i="6"/>
  <c r="C27" i="6"/>
  <c r="W26" i="6"/>
  <c r="C26" i="6"/>
  <c r="W25" i="6"/>
  <c r="C25" i="6"/>
  <c r="W24" i="6"/>
  <c r="C24" i="6"/>
  <c r="W23" i="6"/>
  <c r="C23" i="6"/>
  <c r="W22" i="6"/>
  <c r="C22" i="6"/>
  <c r="W21" i="6"/>
  <c r="C21" i="6"/>
  <c r="W20" i="6"/>
  <c r="C20" i="6"/>
  <c r="W19" i="6"/>
  <c r="C19" i="6"/>
  <c r="W18" i="6"/>
  <c r="C18" i="6"/>
  <c r="W17" i="6"/>
  <c r="C17" i="6"/>
  <c r="W16" i="6"/>
  <c r="C16" i="6"/>
  <c r="W15" i="6"/>
  <c r="C15" i="6"/>
  <c r="W14" i="6"/>
  <c r="C14" i="6"/>
  <c r="W13" i="6"/>
  <c r="C13" i="6"/>
  <c r="W12" i="6"/>
  <c r="C12" i="6"/>
  <c r="W11" i="6"/>
  <c r="C11" i="6"/>
  <c r="W10" i="6"/>
  <c r="C10" i="6"/>
  <c r="W9" i="6"/>
  <c r="C9" i="6"/>
  <c r="W8" i="6"/>
  <c r="C8" i="6"/>
  <c r="W7" i="6"/>
  <c r="C7" i="6"/>
  <c r="AA6" i="6"/>
  <c r="AC6" i="6"/>
  <c r="AB6" i="6"/>
  <c r="Z6" i="6"/>
  <c r="W6" i="6"/>
  <c r="AA5" i="6"/>
  <c r="AB5" i="6"/>
  <c r="Z5" i="6"/>
  <c r="C5" i="6"/>
  <c r="AA4" i="6"/>
  <c r="AC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377" i="6"/>
  <c r="B333" i="6"/>
  <c r="B130" i="6"/>
  <c r="B373" i="6"/>
  <c r="B335" i="6"/>
  <c r="B343" i="6"/>
  <c r="B354" i="6"/>
  <c r="B405" i="6"/>
  <c r="B110" i="6"/>
  <c r="B395" i="6"/>
  <c r="B125" i="6"/>
  <c r="B398" i="6"/>
  <c r="B349" i="6"/>
  <c r="B351" i="6"/>
  <c r="B190" i="6"/>
  <c r="BS3" i="7"/>
  <c r="BS2" i="7"/>
  <c r="B394" i="6"/>
  <c r="B392" i="6"/>
  <c r="B385" i="6"/>
  <c r="B386" i="6"/>
  <c r="B396" i="6"/>
  <c r="B400" i="6"/>
  <c r="B393" i="6"/>
  <c r="B402" i="6"/>
  <c r="B317" i="6"/>
  <c r="B197" i="6"/>
  <c r="B204" i="6"/>
  <c r="B322" i="6"/>
  <c r="I2" i="7"/>
  <c r="J3" i="7"/>
  <c r="BW4" i="7"/>
  <c r="B2" i="7"/>
  <c r="BX4" i="7"/>
  <c r="BC4" i="7"/>
  <c r="BZ4" i="7"/>
  <c r="BU4" i="7"/>
  <c r="BE4" i="7"/>
  <c r="B1" i="8"/>
  <c r="AC270" i="6"/>
  <c r="F4" i="7"/>
  <c r="BG2" i="7"/>
  <c r="CB4" i="7"/>
  <c r="Q10" i="5"/>
  <c r="BI2" i="7"/>
  <c r="BG4" i="7"/>
  <c r="CD4" i="7"/>
  <c r="BI4" i="7"/>
  <c r="BL4" i="7"/>
  <c r="BN4" i="7"/>
  <c r="CF4" i="7"/>
  <c r="BK4" i="7"/>
  <c r="BM4" i="7"/>
  <c r="BO4" i="7"/>
  <c r="C2" i="7"/>
  <c r="D3" i="7"/>
  <c r="B415" i="6"/>
  <c r="B407" i="6"/>
  <c r="F2" i="7"/>
  <c r="C3" i="8"/>
  <c r="C2" i="8"/>
  <c r="BC2" i="7"/>
  <c r="BO2" i="7"/>
  <c r="D2" i="8"/>
  <c r="BE2" i="7"/>
  <c r="AB126" i="6"/>
  <c r="Z126" i="6"/>
  <c r="B126" i="6"/>
  <c r="AC273" i="6"/>
  <c r="AC404" i="6"/>
  <c r="B412" i="6"/>
  <c r="B414" i="6"/>
  <c r="B408" i="6"/>
  <c r="AC284" i="6"/>
  <c r="AC285" i="6"/>
  <c r="I3" i="8"/>
  <c r="I2" i="8"/>
  <c r="B307" i="6"/>
  <c r="B195" i="6"/>
  <c r="B200" i="6"/>
  <c r="B384" i="6"/>
  <c r="B375" i="6"/>
  <c r="B410" i="6"/>
  <c r="B117" i="6"/>
  <c r="B345" i="6"/>
  <c r="B196" i="6"/>
  <c r="B93" i="6"/>
  <c r="B151" i="6"/>
  <c r="B163" i="6"/>
  <c r="B192" i="6"/>
  <c r="B198" i="6"/>
  <c r="B308" i="6"/>
  <c r="B329" i="6"/>
  <c r="B154" i="6"/>
  <c r="B188" i="6"/>
  <c r="B391" i="6"/>
  <c r="B401" i="6"/>
  <c r="B327" i="6"/>
  <c r="B104" i="6"/>
  <c r="B397" i="6"/>
  <c r="B411" i="6"/>
  <c r="B413" i="6"/>
  <c r="B193" i="6"/>
  <c r="B178" i="6"/>
  <c r="B98" i="6"/>
  <c r="B116" i="6"/>
  <c r="B161" i="6"/>
  <c r="B166" i="6"/>
  <c r="B399" i="6"/>
  <c r="B406" i="6"/>
  <c r="F2" i="8"/>
  <c r="B60" i="6"/>
  <c r="B81" i="6"/>
  <c r="B51" i="6"/>
  <c r="B149" i="6"/>
  <c r="B157" i="6"/>
  <c r="B164" i="6"/>
  <c r="B199" i="6"/>
  <c r="B306" i="6"/>
  <c r="B338" i="6"/>
  <c r="B346" i="6"/>
  <c r="B330" i="6"/>
  <c r="B156" i="6"/>
  <c r="B388" i="6"/>
  <c r="B36" i="6"/>
  <c r="B52" i="6"/>
  <c r="B66" i="6"/>
  <c r="B74" i="6"/>
  <c r="B82" i="6"/>
  <c r="B90" i="6"/>
  <c r="B124" i="6"/>
  <c r="B78" i="6"/>
  <c r="B138" i="6"/>
  <c r="B102" i="6"/>
  <c r="B112" i="6"/>
  <c r="B75" i="6"/>
  <c r="B174" i="6"/>
  <c r="B140" i="6"/>
  <c r="B76" i="6"/>
  <c r="B142" i="6"/>
  <c r="B108" i="6"/>
  <c r="B71" i="6"/>
  <c r="B79" i="6"/>
  <c r="B87" i="6"/>
  <c r="B103" i="6"/>
  <c r="B113" i="6"/>
  <c r="B173" i="6"/>
  <c r="B315" i="6"/>
  <c r="B319" i="6"/>
  <c r="B144" i="6"/>
  <c r="B176" i="6"/>
  <c r="B182" i="6"/>
  <c r="B202" i="6"/>
  <c r="B100" i="6"/>
  <c r="B183" i="6"/>
  <c r="B314" i="6"/>
  <c r="B341" i="6"/>
  <c r="B133" i="6"/>
  <c r="B167" i="6"/>
  <c r="B172" i="6"/>
  <c r="B304" i="6"/>
  <c r="B323" i="6"/>
  <c r="B336" i="6"/>
  <c r="B374" i="6"/>
  <c r="B119" i="6"/>
  <c r="B147" i="6"/>
  <c r="B152" i="6"/>
  <c r="B28" i="6"/>
  <c r="B131" i="6"/>
  <c r="B179" i="6"/>
  <c r="B35" i="6"/>
  <c r="B169" i="6"/>
  <c r="B175" i="6"/>
  <c r="B83" i="6"/>
  <c r="B121" i="6"/>
  <c r="B165" i="6"/>
  <c r="B13" i="6"/>
  <c r="B201" i="6"/>
  <c r="B3" i="6"/>
  <c r="B150" i="6"/>
  <c r="B8" i="6"/>
  <c r="B128" i="6"/>
  <c r="B180" i="6"/>
  <c r="B139" i="6"/>
  <c r="B105" i="6"/>
  <c r="B379" i="6"/>
  <c r="B53" i="6"/>
  <c r="B32" i="6"/>
  <c r="B64" i="6"/>
  <c r="B158" i="6"/>
  <c r="B137" i="6"/>
  <c r="B146" i="6"/>
  <c r="B61" i="6"/>
  <c r="B123" i="6"/>
  <c r="B56" i="6"/>
  <c r="B72" i="6"/>
  <c r="B191" i="6"/>
  <c r="B381" i="6"/>
  <c r="B94" i="6"/>
  <c r="B403" i="6"/>
  <c r="B114" i="6"/>
  <c r="B310" i="6"/>
  <c r="B409" i="6"/>
  <c r="B189" i="6"/>
  <c r="B171" i="6"/>
  <c r="B20" i="6"/>
  <c r="B148" i="6"/>
  <c r="B41" i="6"/>
  <c r="B80" i="6"/>
  <c r="B69" i="6"/>
  <c r="B73" i="6"/>
  <c r="B95" i="6"/>
  <c r="B97" i="6"/>
  <c r="B380" i="6"/>
  <c r="B11" i="6"/>
  <c r="B187" i="6"/>
  <c r="B177" i="6"/>
  <c r="B77" i="6"/>
  <c r="B85" i="6"/>
  <c r="B5" i="6"/>
  <c r="B57" i="6"/>
  <c r="B59" i="6"/>
  <c r="B67" i="6"/>
  <c r="B70" i="6"/>
  <c r="B46" i="6"/>
  <c r="B62" i="6"/>
  <c r="B122" i="6"/>
  <c r="B29" i="6"/>
  <c r="B88" i="6"/>
  <c r="B162" i="6"/>
  <c r="B18" i="6"/>
  <c r="B55" i="6"/>
  <c r="B22" i="6"/>
  <c r="B68" i="6"/>
  <c r="B96" i="6"/>
  <c r="B324" i="6"/>
  <c r="B332" i="6"/>
  <c r="B340" i="6"/>
  <c r="B337" i="6"/>
  <c r="B328" i="6"/>
  <c r="B348" i="6"/>
  <c r="B344" i="6"/>
  <c r="B352" i="6"/>
  <c r="B44" i="6"/>
  <c r="B168" i="6"/>
  <c r="B86" i="6"/>
  <c r="B54" i="6"/>
  <c r="B372" i="6"/>
  <c r="B111" i="6"/>
  <c r="B155" i="6"/>
  <c r="B33" i="6"/>
  <c r="B136" i="6"/>
  <c r="B326" i="6"/>
  <c r="B99" i="6"/>
  <c r="B120" i="6"/>
  <c r="B101" i="6"/>
  <c r="B203" i="6"/>
  <c r="B350" i="6"/>
  <c r="B9" i="6"/>
  <c r="B153" i="6"/>
  <c r="B92" i="6"/>
  <c r="B320" i="6"/>
  <c r="B390" i="6"/>
  <c r="B91" i="6"/>
  <c r="B321" i="6"/>
  <c r="B194" i="6"/>
  <c r="B15" i="6"/>
  <c r="B143" i="6"/>
  <c r="B181" i="6"/>
  <c r="B134" i="6"/>
  <c r="B17" i="6"/>
  <c r="B107" i="6"/>
  <c r="B23" i="6"/>
  <c r="B160" i="6"/>
  <c r="B89" i="6"/>
  <c r="B342" i="6"/>
  <c r="B26" i="6"/>
  <c r="B40" i="6"/>
  <c r="B48" i="6"/>
  <c r="B129" i="6"/>
  <c r="B141" i="6"/>
  <c r="B38" i="6"/>
  <c r="B65" i="6"/>
  <c r="B334" i="6"/>
  <c r="B184" i="6"/>
  <c r="B186" i="6"/>
  <c r="B185" i="6"/>
  <c r="B84" i="6"/>
  <c r="B31" i="6"/>
  <c r="B115" i="6"/>
  <c r="B58" i="6"/>
  <c r="B159" i="6"/>
  <c r="B109" i="6"/>
  <c r="B389" i="6"/>
  <c r="B127" i="6"/>
  <c r="B132" i="6"/>
  <c r="B135" i="6"/>
  <c r="B170" i="6"/>
  <c r="B145" i="6"/>
  <c r="B309" i="6"/>
  <c r="B312" i="6"/>
  <c r="B311" i="6"/>
  <c r="B305" i="6"/>
  <c r="B316" i="6"/>
  <c r="B313" i="6"/>
  <c r="B325" i="6"/>
  <c r="B376" i="6"/>
  <c r="B37" i="6"/>
  <c r="B45" i="6"/>
  <c r="B118" i="6"/>
  <c r="B14" i="6"/>
  <c r="B25" i="6"/>
  <c r="B7" i="6"/>
  <c r="B106" i="6"/>
  <c r="B378" i="6"/>
  <c r="B10" i="6"/>
  <c r="B21" i="6"/>
  <c r="B12" i="6"/>
  <c r="B43" i="6"/>
  <c r="B49" i="6"/>
  <c r="B19" i="6"/>
  <c r="B24" i="6"/>
  <c r="B27" i="6"/>
  <c r="B16" i="6"/>
  <c r="AC5" i="6"/>
  <c r="B4" i="6"/>
  <c r="B47" i="6"/>
  <c r="B34" i="6"/>
  <c r="B42" i="6"/>
  <c r="B30" i="6"/>
  <c r="B50" i="6"/>
  <c r="B39" i="6"/>
  <c r="J2" i="7"/>
  <c r="K3" i="7"/>
  <c r="K2" i="7"/>
  <c r="D2" i="7"/>
  <c r="E3" i="7"/>
  <c r="E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<sst xmlns="http://schemas.openxmlformats.org/spreadsheetml/2006/main" count="5180" uniqueCount="1386">
  <si>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</si>
  <si>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</si>
  <si>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</si>
  <si>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</si>
  <si>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</si>
  <si>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</si>
  <si>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</si>
  <si>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</si>
  <si>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</si>
  <si>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</si>
  <si>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</si>
  <si>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</si>
  <si>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</si>
  <si>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</si>
  <si>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</si>
  <si>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</si>
  <si>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</si>
  <si>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</si>
  <si>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</si>
  <si>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</si>
  <si>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</si>
  <si>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</si>
  <si>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</si>
  <si>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</si>
  <si>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</si>
  <si>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</si>
  <si>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</si>
  <si>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</si>
  <si>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</si>
  <si>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</si>
  <si>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</si>
  <si>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</si>
  <si>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</si>
  <si>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</si>
  <si>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</si>
  <si>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</si>
  <si>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</si>
  <si>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</si>
  <si>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</si>
  <si>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</si>
  <si>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</si>
  <si>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</si>
  <si>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</si>
  <si>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</si>
  <si>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</si>
  <si>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</si>
  <si>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</si>
  <si>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</si>
  <si>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</si>
  <si>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</si>
  <si>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</si>
  <si>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</si>
  <si>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</si>
  <si>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</si>
  <si>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</si>
  <si>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</si>
  <si>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</si>
  <si>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</si>
  <si>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</si>
  <si>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</si>
  <si>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</si>
  <si>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</si>
  <si>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</si>
  <si>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</si>
  <si>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</si>
  <si>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</si>
  <si>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</si>
  <si>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</si>
  <si>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</si>
  <si>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</si>
  <si>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</si>
  <si>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</si>
  <si>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</si>
  <si>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</si>
  <si>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</si>
  <si>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</si>
  <si>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</si>
  <si>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</si>
  <si>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</si>
  <si>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</si>
  <si>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</si>
  <si>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</si>
  <si>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</si>
  <si>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</si>
  <si>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</si>
  <si>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</si>
  <si>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</si>
  <si>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</si>
  <si>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</si>
  <si>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</si>
  <si>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</si>
  <si>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</si>
  <si>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</si>
  <si>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</si>
  <si>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</si>
  <si>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</si>
  <si>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</si>
  <si>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</si>
  <si>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</si>
  <si>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</si>
  <si>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</si>
  <si>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</si>
  <si>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</si>
  <si>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</si>
  <si>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</si>
  <si>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</si>
  <si>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</si>
  <si>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</si>
  <si>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</si>
  <si>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</si>
  <si>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</si>
  <si>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</si>
  <si>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</si>
  <si>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</si>
  <si>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</si>
  <si>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</si>
  <si>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</si>
  <si>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</si>
  <si>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</si>
  <si>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</si>
  <si>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</si>
  <si>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</si>
  <si>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</si>
  <si>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</si>
  <si>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</si>
  <si>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</si>
  <si>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</si>
  <si>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</si>
  <si>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</si>
  <si>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</si>
  <si>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</si>
  <si>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</si>
  <si>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</si>
  <si>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</si>
  <si>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</si>
  <si>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</si>
  <si>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</si>
  <si>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</si>
  <si>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</si>
  <si>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</si>
  <si>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</si>
  <si>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</si>
  <si>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</si>
  <si>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</si>
  <si>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</si>
  <si>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</si>
  <si>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</si>
  <si>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</si>
  <si>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</si>
  <si>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</si>
  <si>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</si>
  <si>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</si>
  <si>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</si>
  <si>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</si>
  <si>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</si>
  <si>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</si>
  <si>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</si>
  <si>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</si>
  <si>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</si>
  <si>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</si>
  <si>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</si>
  <si>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</si>
  <si>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</si>
  <si>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</si>
  <si>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</si>
  <si>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</si>
  <si>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</si>
  <si>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</si>
  <si>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</si>
  <si>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</si>
  <si>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</si>
  <si>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</si>
  <si>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</si>
  <si>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</si>
  <si>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</si>
  <si>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</si>
  <si>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</si>
  <si>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</si>
  <si>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</si>
  <si>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</si>
  <si>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</si>
  <si>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</si>
  <si>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</si>
  <si>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</si>
  <si>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</si>
  <si>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</si>
  <si>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</si>
  <si>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</si>
  <si>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</si>
  <si>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</si>
  <si>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</si>
  <si>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</si>
  <si>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</si>
  <si>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</si>
  <si>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</si>
  <si>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</si>
  <si>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</si>
  <si>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</si>
  <si>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</si>
  <si>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</si>
  <si>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</si>
  <si>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</si>
  <si>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</si>
  <si>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</si>
  <si>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</si>
  <si>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</si>
  <si>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</si>
  <si>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</si>
  <si>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</si>
  <si>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</si>
  <si>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</si>
  <si>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</si>
  <si>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</si>
  <si>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</si>
  <si>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</si>
  <si>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</si>
  <si>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</si>
  <si>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</si>
  <si>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</si>
  <si>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</si>
  <si>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</si>
  <si>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</si>
  <si>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</si>
  <si>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</si>
  <si>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</si>
  <si>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</si>
  <si>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</si>
  <si>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</si>
  <si>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</si>
  <si>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</si>
  <si>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</si>
  <si>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</si>
  <si>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</si>
  <si>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</si>
  <si>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</si>
  <si>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</si>
  <si>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</si>
  <si>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</si>
  <si>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</si>
  <si>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</si>
  <si>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</si>
  <si>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</si>
  <si>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</si>
  <si>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</si>
  <si>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</si>
  <si>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</si>
  <si>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</si>
  <si>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</si>
  <si>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</si>
  <si>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</si>
  <si>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</si>
  <si>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</si>
  <si>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</si>
  <si>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</si>
  <si>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</si>
  <si>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</si>
  <si>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</si>
  <si>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</si>
  <si>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</si>
  <si>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</si>
  <si>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</si>
  <si>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</si>
  <si>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</si>
  <si>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</si>
  <si>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</si>
  <si>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</si>
  <si>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</si>
  <si>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</si>
  <si>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</si>
  <si>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</si>
  <si>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</si>
  <si>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</si>
  <si>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</si>
  <si>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</si>
  <si>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</si>
  <si>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</si>
  <si>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</si>
  <si>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</si>
  <si>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</si>
  <si>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</si>
  <si>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</si>
  <si>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</si>
  <si>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</si>
  <si>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</si>
  <si>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</si>
  <si>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</si>
  <si>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</si>
  <si>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</si>
  <si>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</si>
  <si>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</si>
  <si>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</si>
  <si>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</si>
  <si>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</si>
  <si>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</si>
  <si>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</si>
  <si>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</si>
  <si>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</si>
  <si>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</si>
  <si>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</si>
  <si>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</si>
  <si>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</si>
  <si>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</si>
  <si>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</si>
  <si>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</si>
  <si>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</si>
  <si>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</si>
  <si>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</si>
  <si>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</si>
  <si>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</si>
  <si>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</si>
  <si>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</si>
  <si>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</si>
  <si>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</si>
  <si>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</si>
  <si>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</si>
  <si>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</si>
  <si>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</si>
  <si>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</si>
  <si>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</si>
  <si>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</si>
  <si>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</si>
  <si>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</si>
  <si>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</si>
  <si>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</si>
  <si>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</si>
  <si>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</si>
  <si>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</si>
  <si>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</si>
  <si>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</si>
  <si>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</si>
  <si>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</si>
  <si>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</si>
  <si>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</si>
  <si>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</si>
  <si>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</si>
  <si>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</si>
  <si>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</si>
  <si>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</si>
  <si>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</si>
  <si>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</si>
  <si>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</si>
  <si>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</si>
  <si>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</si>
  <si>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</si>
  <si>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</si>
  <si>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</si>
  <si>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</si>
  <si>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</si>
  <si>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</si>
  <si>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</si>
  <si>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</si>
  <si>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</si>
  <si>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</si>
  <si>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</si>
  <si>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</si>
  <si>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</si>
  <si>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</si>
  <si>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</si>
  <si>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</si>
  <si>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</si>
  <si>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</si>
  <si>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</si>
  <si>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</si>
  <si>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</si>
  <si>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</si>
  <si>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</si>
  <si>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</si>
  <si>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</si>
  <si>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</si>
  <si>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</si>
  <si>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</si>
  <si>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</si>
  <si>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</si>
  <si>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</si>
  <si>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</si>
  <si>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</si>
  <si>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</si>
  <si>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</si>
  <si>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</si>
  <si>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</si>
  <si>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</si>
  <si>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</si>
  <si>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</si>
  <si>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</si>
  <si>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</si>
  <si>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</si>
  <si>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</si>
  <si>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</si>
  <si>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</si>
  <si>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</si>
  <si>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</si>
  <si>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</si>
  <si>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</si>
  <si>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</si>
  <si>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</si>
  <si>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</si>
  <si>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</si>
  <si>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</si>
  <si>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</si>
  <si>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</si>
  <si>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</si>
  <si>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</si>
  <si>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</si>
  <si>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</si>
  <si>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</si>
  <si>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</si>
  <si>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</si>
  <si>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</si>
  <si>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</si>
  <si>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</si>
  <si>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</si>
  <si>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</si>
  <si>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</si>
  <si>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</si>
  <si>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</si>
  <si>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</si>
  <si>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</si>
  <si>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</si>
  <si>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</si>
  <si>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</si>
  <si>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</si>
  <si>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</si>
  <si>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</si>
  <si>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</si>
  <si>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</si>
  <si>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</si>
  <si>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</si>
  <si>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</si>
  <si>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</si>
  <si>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</si>
  <si>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</si>
  <si>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</si>
  <si>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</si>
  <si>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</si>
  <si>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</si>
  <si>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</si>
  <si>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</si>
  <si>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</si>
  <si>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</si>
  <si>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</si>
  <si>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</si>
  <si>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</si>
  <si>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</si>
  <si>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</si>
  <si>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</si>
  <si>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</si>
  <si>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</si>
  <si>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</si>
  <si>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</si>
  <si>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</si>
  <si>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</si>
  <si>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</si>
  <si>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</si>
  <si>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</si>
  <si>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</si>
  <si>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</si>
  <si>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</si>
  <si>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</si>
  <si>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generic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</si>
  <si>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</si>
  <si>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</si>
  <si>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</si>
  <si>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</si>
  <si>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</si>
  <si>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</si>
  <si>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</si>
  <si>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</si>
  <si>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</si>
  <si>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</si>
  <si>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</si>
  <si>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</si>
  <si>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</si>
  <si>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</si>
  <si>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</si>
  <si>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</si>
  <si>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</si>
  <si>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</si>
  <si>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</si>
  <si>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</si>
  <si>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</si>
  <si>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</si>
  <si>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</si>
  <si>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</si>
  <si>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</si>
  <si>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</si>
  <si>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</si>
  <si>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</si>
  <si>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</si>
  <si>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</si>
  <si>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</si>
  <si>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</si>
  <si>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</si>
  <si>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</si>
  <si>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</si>
  <si>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</si>
  <si>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</si>
  <si>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</si>
  <si>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</si>
  <si>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</si>
  <si>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</si>
  <si>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</si>
  <si>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</si>
  <si>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</si>
  <si>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</si>
  <si>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</si>
  <si>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</si>
  <si>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</si>
  <si>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</si>
  <si>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</si>
  <si>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</si>
  <si>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</si>
  <si>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</si>
  <si>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</si>
  <si>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</si>
  <si>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</si>
  <si>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</si>
  <si>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</si>
  <si>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</si>
  <si>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</si>
  <si>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</si>
  <si>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</si>
  <si>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</si>
  <si>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</si>
  <si>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</si>
  <si>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</si>
  <si>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</si>
  <si>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</si>
  <si>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</si>
  <si>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</si>
  <si>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</si>
  <si>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</si>
  <si>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</si>
  <si>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</si>
  <si>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</si>
  <si>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</si>
  <si>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</si>
  <si>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</si>
  <si>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</si>
  <si>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</si>
  <si>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</si>
  <si>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</si>
  <si>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</si>
  <si>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</si>
  <si>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</si>
  <si>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</si>
  <si>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</si>
  <si>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</si>
  <si>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</si>
  <si>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</si>
  <si>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</si>
  <si>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</si>
  <si>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</si>
  <si>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</si>
  <si>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</si>
  <si>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</si>
  <si>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</si>
  <si>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</si>
  <si>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</si>
  <si>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</si>
  <si>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</si>
  <si>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</si>
  <si>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</si>
  <si>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</si>
  <si>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</si>
  <si>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</si>
  <si>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</si>
  <si>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</si>
  <si>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</si>
  <si>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</si>
  <si>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</si>
  <si>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</si>
  <si>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</si>
  <si>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</si>
  <si>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</si>
  <si>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</si>
  <si>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</si>
  <si>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</si>
  <si>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</si>
  <si>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</si>
  <si>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</si>
  <si>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</si>
  <si>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</si>
  <si>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</si>
  <si>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</si>
  <si>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</si>
  <si>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</si>
  <si>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</si>
  <si>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</si>
  <si>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</si>
  <si>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</si>
  <si>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</si>
  <si>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</si>
  <si>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</si>
  <si>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</si>
  <si>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</si>
  <si>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</si>
  <si>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</si>
  <si>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</si>
  <si>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</si>
  <si>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</si>
  <si>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</si>
  <si>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</si>
  <si>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</si>
  <si>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</si>
  <si>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</si>
  <si>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</si>
  <si>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</si>
  <si>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</si>
  <si>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</si>
  <si>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</si>
  <si>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</si>
  <si>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</si>
  <si>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</si>
  <si>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</si>
  <si>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</si>
  <si>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</si>
  <si>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</si>
  <si>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</si>
  <si>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</si>
  <si>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gs_door_panel</t>
  </si>
  <si>
    <t>Türblatt</t>
  </si>
  <si>
    <t>bs_panel_type</t>
  </si>
  <si>
    <t>Türblatt Typ</t>
  </si>
  <si>
    <t>Typenbezeichnung des Türblattes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</si>
  <si>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</si>
  <si>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</si>
  <si>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</si>
  <si>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</si>
  <si>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</si>
  <si>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</si>
  <si>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</si>
  <si>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</si>
  <si>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</si>
  <si>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</si>
  <si>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</si>
  <si>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</si>
  <si>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</si>
  <si>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</si>
  <si>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</si>
  <si>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</si>
  <si>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</si>
  <si>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</si>
  <si>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</si>
  <si>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</si>
  <si>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</si>
  <si>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</si>
  <si>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</si>
  <si>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</si>
  <si>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</si>
  <si>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</si>
  <si>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</si>
  <si>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</si>
  <si>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</si>
  <si>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</si>
  <si>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</si>
  <si>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</si>
  <si>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</si>
  <si>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</si>
  <si>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</si>
  <si>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</si>
  <si>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</si>
  <si>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</si>
  <si>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</si>
  <si>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</si>
  <si>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</si>
  <si>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</si>
  <si>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</si>
  <si>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</si>
  <si>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</si>
  <si>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</si>
  <si>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</si>
  <si>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</si>
  <si>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</si>
  <si>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</si>
  <si>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</si>
  <si>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</si>
  <si>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</si>
  <si>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</si>
  <si>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</si>
  <si>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</si>
  <si>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</si>
  <si>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</si>
  <si>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</si>
  <si>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</si>
  <si>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</si>
  <si>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</si>
  <si>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</si>
  <si>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</si>
  <si>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</si>
  <si>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</si>
  <si>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</si>
  <si>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</si>
  <si>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</si>
  <si>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</si>
  <si>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</si>
  <si>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</si>
  <si>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</si>
  <si>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</si>
  <si>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</si>
  <si>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</si>
  <si>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</si>
  <si>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</si>
  <si>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</si>
  <si>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</si>
  <si>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</si>
  <si>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</si>
  <si>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</si>
  <si>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</si>
  <si>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</si>
  <si>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</si>
  <si>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</si>
  <si>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</si>
  <si>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</si>
  <si>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</si>
  <si>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</si>
  <si>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</si>
  <si>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</si>
  <si>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stored_material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</si>
  <si>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</si>
  <si>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</si>
  <si>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</si>
  <si>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</si>
  <si>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</si>
  <si>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</si>
  <si>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</si>
  <si>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</si>
  <si>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</si>
  <si>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</si>
  <si>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</si>
  <si>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</si>
  <si>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</si>
  <si>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</si>
  <si>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</si>
  <si>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</si>
  <si>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</si>
  <si>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</si>
  <si>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</si>
  <si>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</si>
  <si>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gs_door_offnung</t>
  </si>
  <si>
    <t>Öffnung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</si>
  <si>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</si>
  <si>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</si>
  <si>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</si>
  <si>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</si>
  <si>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</si>
  <si>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</si>
  <si>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</si>
  <si>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</si>
  <si>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or_swingLineType</t>
  </si>
  <si>
    <t>Öffnungslinien-Typ</t>
  </si>
  <si>
    <t>or_swingLineType2</t>
  </si>
  <si>
    <t>Nebenöffnung Linientyp in 2D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</si>
  <si>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</si>
  <si>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</si>
  <si>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</si>
  <si>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</si>
  <si>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</si>
  <si>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</si>
  <si>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</si>
  <si>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</si>
  <si>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</si>
  <si>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</si>
  <si>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</si>
  <si>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</si>
  <si>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</si>
  <si>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</si>
  <si>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</si>
  <si>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</si>
  <si>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</si>
  <si>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</si>
  <si>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</si>
  <si>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</si>
  <si>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</si>
  <si>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</si>
  <si>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</si>
  <si>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</si>
  <si>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</si>
  <si>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</si>
  <si>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</si>
  <si>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</si>
  <si>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</si>
  <si>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</si>
  <si>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</si>
  <si>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</si>
  <si>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</si>
  <si>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</si>
  <si>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</si>
  <si>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</si>
  <si>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</si>
  <si>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</si>
  <si>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</si>
  <si>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</si>
  <si>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</si>
  <si>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</si>
  <si>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</si>
  <si>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</si>
  <si>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</si>
  <si>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</si>
  <si>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</si>
  <si>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</si>
  <si>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</si>
  <si>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</si>
  <si>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</si>
  <si>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</si>
  <si>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</si>
  <si>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</si>
  <si>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</si>
  <si>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</si>
  <si>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</si>
  <si>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</si>
  <si>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</si>
  <si>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</si>
  <si>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</si>
  <si>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</si>
  <si>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</si>
  <si>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</si>
  <si>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</si>
  <si>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</si>
  <si>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</si>
  <si>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</si>
  <si>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</si>
  <si>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</si>
  <si>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</si>
  <si>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</si>
  <si>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</si>
  <si>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</si>
  <si>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</si>
  <si>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</si>
  <si>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</si>
  <si>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</si>
  <si>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</si>
  <si>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</si>
  <si>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</si>
  <si>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</si>
  <si>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</si>
  <si>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</si>
  <si>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</si>
  <si>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</si>
  <si>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</si>
  <si>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</si>
  <si>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</si>
  <si>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</si>
  <si>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</si>
  <si>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</si>
  <si>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</si>
  <si>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</si>
  <si>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</si>
  <si>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</si>
  <si>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</si>
  <si>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</si>
  <si>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</si>
  <si>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</si>
  <si>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</si>
  <si>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</si>
  <si>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</si>
  <si>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</si>
  <si>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</si>
  <si>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</si>
  <si>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</si>
  <si>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</si>
  <si>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</si>
  <si>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</si>
  <si>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</si>
  <si>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</si>
  <si>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</si>
  <si>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</si>
  <si>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</si>
  <si>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</si>
  <si>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</si>
  <si>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</si>
  <si>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</si>
  <si>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</si>
  <si>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</si>
  <si>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</si>
  <si>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</si>
  <si>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</si>
  <si>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</si>
  <si>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</si>
  <si>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</si>
  <si>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</si>
  <si>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</si>
  <si>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</si>
  <si>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</si>
  <si>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</si>
  <si>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</si>
  <si>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</si>
  <si>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</si>
  <si>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</si>
  <si>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</si>
  <si>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</si>
  <si>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</si>
  <si>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</si>
  <si>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</si>
  <si>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</si>
  <si>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</si>
  <si>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</si>
  <si>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</si>
  <si>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</si>
  <si>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</si>
  <si>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</si>
  <si>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</si>
  <si>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</si>
  <si>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</si>
  <si>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</si>
  <si>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</si>
  <si>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</si>
  <si>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</si>
  <si>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</si>
  <si>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</si>
  <si>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</si>
  <si>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</si>
  <si>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</si>
  <si>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</si>
  <si>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</si>
  <si>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</si>
  <si>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</si>
  <si>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</si>
  <si>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</si>
  <si>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</si>
  <si>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</si>
  <si>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</si>
  <si>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</si>
  <si>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</si>
  <si>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</si>
  <si>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</si>
  <si>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</si>
  <si>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</si>
  <si>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</si>
  <si>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</si>
  <si>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</si>
  <si>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</si>
  <si>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</si>
  <si>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</si>
  <si>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</si>
  <si>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</si>
  <si>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</si>
  <si>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</si>
  <si>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</si>
  <si>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</si>
  <si>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</si>
  <si>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</si>
  <si>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</si>
  <si>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</si>
  <si>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</si>
  <si>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</si>
  <si>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</si>
  <si>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</si>
  <si>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</si>
  <si>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</si>
  <si>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</si>
  <si>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</si>
  <si>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</si>
  <si>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</si>
  <si>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</si>
  <si>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</si>
  <si>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</si>
  <si>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</si>
  <si>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</si>
  <si>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</si>
  <si>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</si>
  <si>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</si>
  <si>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</si>
  <si>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</si>
  <si>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</si>
  <si>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</si>
  <si>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</si>
  <si>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</si>
  <si>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</si>
  <si>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</si>
  <si>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</si>
  <si>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</si>
  <si>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</si>
  <si>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</si>
  <si>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</si>
  <si>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</si>
  <si>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</si>
  <si>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</si>
  <si>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</si>
  <si>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</si>
  <si>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</si>
  <si>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</si>
  <si>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</si>
  <si>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</si>
  <si>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</si>
  <si>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</si>
  <si>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</si>
  <si>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</si>
  <si>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</si>
  <si>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</si>
  <si>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</si>
  <si>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</si>
  <si>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</si>
  <si>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</si>
  <si>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</si>
  <si>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</si>
  <si>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</si>
  <si>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</si>
  <si>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</si>
  <si>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</si>
  <si>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</si>
  <si>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</si>
  <si>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</si>
  <si>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</si>
  <si>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</si>
  <si>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</si>
  <si>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</si>
  <si>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Gebürstet</t>
  </si>
  <si>
    <t>Geschliffen</t>
  </si>
  <si>
    <t>T</t>
  </si>
  <si>
    <t>Getrommelt</t>
  </si>
  <si>
    <t>Poliert</t>
  </si>
  <si>
    <t>Sonderoberfläche</t>
  </si>
  <si>
    <t>bs_door_closer</t>
  </si>
  <si>
    <t>Türschließer / Feststellanlage</t>
  </si>
  <si>
    <t>bs_closer_type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</si>
  <si>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</si>
  <si>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</si>
  <si>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</si>
  <si>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</si>
  <si>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</si>
  <si>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</si>
  <si>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</si>
  <si>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bs_closer2</t>
  </si>
  <si>
    <t>Schließer auf Bedarfsflügel</t>
  </si>
  <si>
    <t>bs_closer_model</t>
  </si>
  <si>
    <t>Schließer Produktangabe</t>
  </si>
  <si>
    <t>TS 98 XEA EN 1-6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</si>
  <si>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</si>
  <si>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</si>
  <si>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</si>
  <si>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</si>
  <si>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</si>
  <si>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</si>
  <si>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dka_penInvisible</t>
  </si>
  <si>
    <t>dka_closer_penSA</t>
  </si>
  <si>
    <t>dka_closer_pen3D</t>
  </si>
  <si>
    <t>dka_fan_penF</t>
  </si>
  <si>
    <t>dka_fan_penB</t>
  </si>
  <si>
    <t>dka_fan_fill</t>
  </si>
  <si>
    <t>dka_closer_mat</t>
  </si>
  <si>
    <t>dk_linetype</t>
  </si>
  <si>
    <t>dka_invisible</t>
  </si>
  <si>
    <t>dk_linetype_settings</t>
  </si>
  <si>
    <t>Linientypen</t>
  </si>
  <si>
    <t>Array für Linientypen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</si>
  <si>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</si>
  <si>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</si>
  <si>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</si>
  <si>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</si>
  <si>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</si>
  <si>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</si>
  <si>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</si>
  <si>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</si>
  <si>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</si>
  <si>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</si>
  <si>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</si>
  <si>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uiTXT</t>
  </si>
  <si>
    <t>BÄNDER</t>
  </si>
  <si>
    <t>HINGE</t>
  </si>
  <si>
    <t>Englisch</t>
  </si>
  <si>
    <t>context</t>
  </si>
  <si>
    <t>Steel</t>
  </si>
  <si>
    <t>Holz</t>
  </si>
  <si>
    <t>Wood</t>
  </si>
  <si>
    <t>Kunststoff</t>
  </si>
  <si>
    <t>Plastic</t>
  </si>
  <si>
    <t>babel</t>
  </si>
  <si>
    <t>Hersteller:</t>
  </si>
  <si>
    <t>Material/Oberfläche:</t>
  </si>
  <si>
    <t>Produkt:</t>
  </si>
  <si>
    <t>bubble</t>
  </si>
  <si>
    <t>Oberflächenmaterial</t>
  </si>
  <si>
    <t>Manufacturer:</t>
  </si>
  <si>
    <t>Material/Finish:</t>
  </si>
  <si>
    <t>Product:</t>
  </si>
  <si>
    <t>Informationen</t>
  </si>
  <si>
    <t>Veredelung</t>
  </si>
  <si>
    <t>Modelltyp</t>
  </si>
  <si>
    <t>Typ:</t>
  </si>
  <si>
    <t>Type:</t>
  </si>
  <si>
    <t>bs_access_control_type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</si>
  <si>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</si>
  <si>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</si>
  <si>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</si>
  <si>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</si>
  <si>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</si>
  <si>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</si>
  <si>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</si>
  <si>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</si>
  <si>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</si>
  <si>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</si>
  <si>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bs_handle_model</t>
  </si>
  <si>
    <t>Griffmodell Bandseite</t>
  </si>
  <si>
    <t>Drücker OS</t>
  </si>
  <si>
    <t>Beschreibung des Türdrückers, Türknopfs, Muschelgriffs oder Glastürbeschlags der Öffnungsseite</t>
  </si>
  <si>
    <t>gs_cust_handle</t>
  </si>
  <si>
    <t>Eigener Griff Bandseite (Makro)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</si>
  <si>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</si>
  <si>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</si>
  <si>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</si>
  <si>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</si>
  <si>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</si>
  <si>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</si>
  <si>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</si>
  <si>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</si>
  <si>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</si>
  <si>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</si>
  <si>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</si>
  <si>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</si>
  <si>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</si>
  <si>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</si>
  <si>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</si>
  <si>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</si>
  <si>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</si>
  <si>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</si>
  <si>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</si>
  <si>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</si>
  <si>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</si>
  <si>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</si>
  <si>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Eigener Griff Bandgegenseite (Makro)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</si>
  <si>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</si>
  <si>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</si>
  <si>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</si>
  <si>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</si>
  <si>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</si>
  <si>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</si>
  <si>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</si>
  <si>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</si>
  <si>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</si>
  <si>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</si>
  <si>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</si>
  <si>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</si>
  <si>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</si>
  <si>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</si>
  <si>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</si>
  <si>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</si>
  <si>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</si>
  <si>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Eigener Griff Standflügel (Makro)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</si>
  <si>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</si>
  <si>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</si>
  <si>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</si>
  <si>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</si>
  <si>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</si>
  <si>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</si>
  <si>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</si>
  <si>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</si>
  <si>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</si>
  <si>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</si>
  <si>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</si>
  <si>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</si>
  <si>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</si>
  <si>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</si>
  <si>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gs_doorplate</t>
  </si>
  <si>
    <t>Türschild / Rosette</t>
  </si>
  <si>
    <t>bs_doorplate_product_line</t>
  </si>
  <si>
    <t>bs_doorplate1</t>
  </si>
  <si>
    <t>Abdeckung Bandseite</t>
  </si>
  <si>
    <t>650x + 6612</t>
  </si>
  <si>
    <t>Abdeckung OS</t>
  </si>
  <si>
    <t>Art der Abdeckung Öfnungsseite</t>
  </si>
  <si>
    <t>bs_doorplate_model1</t>
  </si>
  <si>
    <t>Modell Abdeckung Bandseite</t>
  </si>
  <si>
    <t>Aus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</si>
  <si>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</si>
  <si>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</si>
  <si>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</si>
  <si>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</si>
  <si>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</si>
  <si>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</si>
  <si>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</si>
  <si>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</si>
  <si>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</si>
  <si>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</si>
  <si>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</si>
  <si>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</si>
  <si>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</si>
  <si>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</si>
  <si>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</si>
  <si>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</si>
  <si>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</si>
  <si>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</si>
  <si>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</si>
  <si>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</si>
  <si>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</si>
  <si>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</si>
  <si>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</si>
  <si>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</si>
  <si>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650x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</si>
  <si>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</si>
  <si>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</si>
  <si>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</si>
  <si>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</si>
  <si>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</si>
  <si>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</si>
  <si>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</si>
  <si>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</si>
  <si>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bs_door_case</t>
  </si>
  <si>
    <t>Türschloss</t>
  </si>
  <si>
    <t>bs_case_manufacturer</t>
  </si>
  <si>
    <t>Hersteller Türschloss</t>
  </si>
  <si>
    <t>bs_case_model</t>
  </si>
  <si>
    <t>Modell Türschloss</t>
  </si>
  <si>
    <t>Schloss Produktangabe</t>
  </si>
  <si>
    <t>bs_lock_type</t>
  </si>
  <si>
    <t>Schloßtyp</t>
  </si>
  <si>
    <t>FA</t>
  </si>
  <si>
    <t>Art des an der Tür angebrachten Schlosses (RR, FB, MFV, RF, SR)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</si>
  <si>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</si>
  <si>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</si>
  <si>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</si>
  <si>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</si>
  <si>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</si>
  <si>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</si>
  <si>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</si>
  <si>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</si>
  <si>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???</t>
  </si>
  <si>
    <t>bs_case_hole2</t>
  </si>
  <si>
    <t>Lochung Standflügel</t>
  </si>
  <si>
    <t>bs_case_distance2</t>
  </si>
  <si>
    <t>Entfernungsmaß Standflügel</t>
  </si>
  <si>
    <t>bs_latch_plate</t>
  </si>
  <si>
    <t>Stulpblech</t>
  </si>
  <si>
    <t>bs_case_material</t>
  </si>
  <si>
    <t>Material Schloss</t>
  </si>
  <si>
    <t>bs_case_surface</t>
  </si>
  <si>
    <t>Oberfläche Schloss</t>
  </si>
  <si>
    <t>Angabe zur Oberfläche des Schlosses</t>
  </si>
  <si>
    <t>bs_lock_panic</t>
  </si>
  <si>
    <t>Panikfunktion</t>
  </si>
  <si>
    <t>Panikfunktionen</t>
  </si>
  <si>
    <t>Angabe ob die Tür mit einem Schloss mit Panikfunktion ausgestattet ist</t>
  </si>
  <si>
    <t>bs_lock_change</t>
  </si>
  <si>
    <t>Wechselfunktionen</t>
  </si>
  <si>
    <t>Angabe ob die Tür mit einem Schloss mit Wechselfunktion ausgestattet ist</t>
  </si>
  <si>
    <t>bs_lock_system</t>
  </si>
  <si>
    <t>Verriegelungsfunktionen</t>
  </si>
  <si>
    <t>1f</t>
  </si>
  <si>
    <t>Beschreibung der Verriegelungsfunktion des an der Tür angebrachten Schlosses</t>
  </si>
  <si>
    <t>bs_selflocking</t>
  </si>
  <si>
    <t>Selbstverriegelnd</t>
  </si>
  <si>
    <t>Angabe ob die Tür selbstverriegelnd ist</t>
  </si>
  <si>
    <t>bs_lock_SF</t>
  </si>
  <si>
    <t>Standflügelverriegelung</t>
  </si>
  <si>
    <t>Angabe ob die Tür über die Möglichkeit der Standflügelverriegelung verfügt</t>
  </si>
  <si>
    <t>bs_lock_master</t>
  </si>
  <si>
    <t>Schließanlage</t>
  </si>
  <si>
    <t>Angabe ob die Tür Teil einer Schließanlage ist</t>
  </si>
  <si>
    <t>bs_locking_side</t>
  </si>
  <si>
    <t>Schließung</t>
  </si>
  <si>
    <t>ZS</t>
  </si>
  <si>
    <t>Angabe von welcher Seite her die Schließung der Tür möglich ist</t>
  </si>
  <si>
    <t>bs_lock_opener</t>
  </si>
  <si>
    <t>Elektrischer Türöffner</t>
  </si>
  <si>
    <t>bs_lock_electric</t>
  </si>
  <si>
    <t>Elektronisches Schloss</t>
  </si>
  <si>
    <t>Kabelzug</t>
  </si>
  <si>
    <t>Bechreibung des evtl. vorhanden Kabelzuges zum Schlosskasten</t>
  </si>
  <si>
    <t>bs_locking_system</t>
  </si>
  <si>
    <t>Zylinder / Kontrollsystem</t>
  </si>
  <si>
    <t>Art des Zugangskontrollsystems</t>
  </si>
  <si>
    <t>bs_access_control_system</t>
  </si>
  <si>
    <t>c-lever compact</t>
  </si>
  <si>
    <t>bs_acs_model</t>
  </si>
  <si>
    <t>Modell Zugangskontrollsystem</t>
  </si>
  <si>
    <t>bs_acs_systemlevel</t>
  </si>
  <si>
    <t>Systemlevel</t>
  </si>
  <si>
    <t>bs_acs_cover</t>
  </si>
  <si>
    <t>Antennenabdeckung</t>
  </si>
  <si>
    <t>bs_acs_baseplate</t>
  </si>
  <si>
    <t>Rückplatte (Ländercode)</t>
  </si>
  <si>
    <t>EU</t>
  </si>
  <si>
    <t>bs_acs_emodule</t>
  </si>
  <si>
    <t>E-Modul</t>
  </si>
  <si>
    <t>E300</t>
  </si>
  <si>
    <t>bs_acs_electric</t>
  </si>
  <si>
    <t>Stromversorgung</t>
  </si>
  <si>
    <t>bs_acs_addon</t>
  </si>
  <si>
    <t>Zusatz</t>
  </si>
  <si>
    <t>bs_lock_barrel</t>
  </si>
  <si>
    <t>Zylinder(typ)</t>
  </si>
  <si>
    <t>Zylinder Typ GF / SF</t>
  </si>
  <si>
    <t>Beschreibung des Profilzylinders am Gangflügel</t>
  </si>
  <si>
    <t>bs_acs_material</t>
  </si>
  <si>
    <t>Material Zugangskontrollsystem</t>
  </si>
  <si>
    <t>bs_acs_surface</t>
  </si>
  <si>
    <t>Oberfläche Zugangskontrollsystem</t>
  </si>
  <si>
    <t>Hersteller Zugangskontrollsystem</t>
  </si>
  <si>
    <t>bs_acs_manufacturer</t>
  </si>
  <si>
    <t>Zugangskontrollsystem</t>
  </si>
  <si>
    <t>Zugangsidentifikationssystem</t>
  </si>
  <si>
    <t>dk_visibleLeaf</t>
  </si>
  <si>
    <t>Türblatt sichtbar?</t>
  </si>
  <si>
    <t>Material für Schlüssellöcher</t>
  </si>
  <si>
    <t>dk_opening_locked</t>
  </si>
  <si>
    <t>Öffnungswinkel gekoppelt</t>
  </si>
  <si>
    <t>dk_openingLineSymbol</t>
  </si>
  <si>
    <t>Symbol an Öffnungslinie Gangflügel</t>
  </si>
  <si>
    <t>dk_openingLineSymbol2</t>
  </si>
  <si>
    <t>Symbol an Öffnungslinie Standflügel</t>
  </si>
  <si>
    <t>bs_acs_function</t>
  </si>
  <si>
    <t>Funktion Zugangskontrollsystem</t>
  </si>
  <si>
    <t>bs_acs_sytle</t>
  </si>
  <si>
    <t>Ausführung Zugangskontrollsystem</t>
  </si>
  <si>
    <t>bs_control_side</t>
  </si>
  <si>
    <t>zweiseitig</t>
  </si>
  <si>
    <t>Bandseite</t>
  </si>
  <si>
    <t>BGS</t>
  </si>
  <si>
    <t>Bandgegenseite</t>
  </si>
  <si>
    <t>Seite von der Zugangskontrolle erfolgt</t>
  </si>
  <si>
    <t>dka_wallhole_lintelBS1</t>
  </si>
  <si>
    <t>dka_wallhole_lintelBGS1</t>
  </si>
  <si>
    <t>dka_wallhole_lintelBS2</t>
  </si>
  <si>
    <t>dka_wallhole_lintelBGS2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</si>
  <si>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</si>
  <si>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</si>
  <si>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</si>
  <si>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</si>
  <si>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</si>
  <si>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</si>
  <si>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</si>
  <si>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</si>
  <si>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dka_wallhole_side2D</t>
  </si>
  <si>
    <t>dka_wallhole_penF</t>
  </si>
  <si>
    <t>dka_wallhole_penB</t>
  </si>
  <si>
    <t>dka_wallhole_fill</t>
  </si>
  <si>
    <t>dka_wallhole_lintel2D1</t>
  </si>
  <si>
    <t>dka_wallhole_lintel2D2</t>
  </si>
  <si>
    <t>dka_panel_bandings_mat</t>
  </si>
  <si>
    <t>dka_panel2_bandings_mat</t>
  </si>
  <si>
    <t>dka_automation_mat</t>
  </si>
  <si>
    <t>dka_grip_mat_BS1</t>
  </si>
  <si>
    <t>dka_grip_mat_BS2</t>
  </si>
  <si>
    <t>dka_grip_mat_BGS1</t>
  </si>
  <si>
    <t>dka_grip_mat_BGS2</t>
  </si>
  <si>
    <t>dka_acs_mat</t>
  </si>
  <si>
    <t>M</t>
  </si>
  <si>
    <t>Mechanisch</t>
  </si>
  <si>
    <t>Schlüssel</t>
  </si>
  <si>
    <t>K</t>
  </si>
  <si>
    <t>Karte/Chip</t>
  </si>
  <si>
    <t>Code</t>
  </si>
  <si>
    <t>F</t>
  </si>
  <si>
    <t>Ferngesteuert</t>
  </si>
  <si>
    <t>Biometrisch</t>
  </si>
  <si>
    <t>individuell</t>
  </si>
  <si>
    <t>c-lever pro HAC</t>
  </si>
  <si>
    <t>c-lever pro HBC</t>
  </si>
  <si>
    <t>c-lever 29x5</t>
  </si>
  <si>
    <t>c-lever 29x4</t>
  </si>
  <si>
    <t>bs_acs_handles</t>
  </si>
  <si>
    <t>Beschläge vom ACS Modul erstellt</t>
  </si>
  <si>
    <t>bs_door_pushbar</t>
  </si>
  <si>
    <t>Stoßgriff</t>
  </si>
  <si>
    <t>bs_pushbar_BS</t>
  </si>
  <si>
    <t>Stoßgriff Typ BS</t>
  </si>
  <si>
    <t>Stoßgriff Typ OS</t>
  </si>
  <si>
    <t>Art des Stossgriffs Öffnungsseite</t>
  </si>
  <si>
    <t>bs_pushbar_BGS</t>
  </si>
  <si>
    <t>Stoßgriff Typ BGS</t>
  </si>
  <si>
    <t>Stoßgriff Typ SS</t>
  </si>
  <si>
    <t>Art des Stossgriffs Schlosseite</t>
  </si>
  <si>
    <t>bs_acs_platetype</t>
  </si>
  <si>
    <t>Schildausführung</t>
  </si>
  <si>
    <t>Digitalzylinder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</si>
  <si>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</si>
  <si>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</si>
  <si>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</si>
  <si>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</si>
  <si>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</si>
  <si>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</si>
  <si>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</si>
  <si>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</si>
  <si>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Lange PZ ungeschützer Bereich</t>
  </si>
  <si>
    <t>Lange PZ geschützer Bereich</t>
  </si>
  <si>
    <t>bs_acs_case_lb</t>
  </si>
  <si>
    <t>bs_acs_cam</t>
  </si>
  <si>
    <t>Mitnehmer</t>
  </si>
  <si>
    <t>abmess</t>
  </si>
  <si>
    <t>Abmessungen ACS Systeme</t>
  </si>
  <si>
    <t>DORMAKABA_TS</t>
  </si>
  <si>
    <t>D:\Daten (sync)\github\bim-all-doors\Source\Module\10 BAD access_control\source.DORMAKABA_ACS_access_control_macro</t>
  </si>
  <si>
    <t>prepare for open source</t>
  </si>
  <si>
    <t>1.90</t>
  </si>
  <si>
    <t>bim-all-doors.DORMAKABA.access_control</t>
  </si>
  <si>
    <t>&gt;&lt;</t>
  </si>
  <si>
    <t>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</si>
</sst>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7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FF0000"/>
      <name val="Calibri"/>
      <family val="2"/>
      <scheme val="minor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  <font>
      <sz val="11"/>
      <color theme="4" tint="-0.249977111117893"/>
      <name val="Arial"/>
      <family val="2"/>
    </font>
    <font>
      <b/>
      <sz val="11"/>
      <color theme="4" tint="-0.249977111117893"/>
      <name val="Courier New"/>
      <family val="3"/>
    </font>
    <font>
      <b/>
      <sz val="11"/>
      <color theme="4" tint="-0.249977111117893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6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39" fillId="11" borderId="0" xfId="0" applyFont="1" applyFill="1" applyAlignment="1">
      <alignment vertical="center"/>
    </xf>
    <xf numFmtId="0" fontId="57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8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0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3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0" fillId="11" borderId="0" xfId="0" applyFont="1" applyFill="1"/>
    <xf numFmtId="0" fontId="2" fillId="11" borderId="0" xfId="0" applyFont="1" applyFill="1" applyAlignment="1">
      <alignment horizontal="center" vertical="center"/>
    </xf>
    <xf numFmtId="0" fontId="40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7" fillId="11" borderId="0" xfId="0" applyFont="1" applyFill="1" applyAlignment="1">
      <alignment vertical="center"/>
    </xf>
    <xf numFmtId="0" fontId="60" fillId="8" borderId="0" xfId="0" applyFont="1" applyFill="1"/>
    <xf numFmtId="0" fontId="37" fillId="8" borderId="0" xfId="0" applyFont="1" applyFill="1" applyAlignment="1">
      <alignment vertical="center"/>
    </xf>
    <xf numFmtId="0" fontId="2" fillId="0" borderId="0" xfId="0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13" borderId="0" xfId="0" applyFont="1" applyFill="1" applyAlignment="1">
      <alignment vertical="center"/>
    </xf>
    <xf numFmtId="0" fontId="65" fillId="13" borderId="0" xfId="0" applyFont="1" applyFill="1" applyAlignment="1">
      <alignment vertical="center"/>
    </xf>
    <xf numFmtId="0" fontId="66" fillId="13" borderId="0" xfId="0" applyFont="1" applyFill="1" applyAlignment="1">
      <alignment vertical="center"/>
    </xf>
    <xf numFmtId="0" fontId="39" fillId="0" borderId="0" xfId="0" applyFont="1" applyFill="1"/>
    <xf numFmtId="0" fontId="4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4" fontId="40" fillId="0" borderId="0" xfId="0" applyNumberFormat="1" applyFont="1" applyFill="1"/>
    <xf numFmtId="0" fontId="2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BIM-all-doors\develop\01%20BAD%20main\BAD01.parameters\BA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base"/>
      <sheetName val="SORT IMPORT"/>
      <sheetName val="RAW IMPORT"/>
      <sheetName val="IMPORT AUFBEREITET"/>
      <sheetName val="IMPORT GS-Tür OL FL 2S2 20"/>
      <sheetName val="Reimport Parameters"/>
      <sheetName val="Tabelle1"/>
    </sheetNames>
    <sheetDataSet>
      <sheetData sheetId="0"/>
      <sheetData sheetId="1">
        <row r="287">
          <cell r="M287" t="str">
            <v>mgew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>
        <row r="2">
          <cell r="B2" t="str">
            <v>String</v>
          </cell>
        </row>
      </sheetData>
      <sheetData sheetId="6"/>
      <sheetData sheetId="7"/>
      <sheetData sheetId="8"/>
      <sheetData sheetId="9">
        <row r="2">
          <cell r="H2" t="str">
            <v>A</v>
          </cell>
        </row>
      </sheetData>
      <sheetData sheetId="10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  <sheetData sheetId="1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1"/>
  <sheetViews>
    <sheetView tabSelected="1" zoomScaleNormal="100" workbookViewId="0">
      <selection activeCell="B1" sqref="B1:C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56" t="s">
        <v>1383</v>
      </c>
      <c r="C1" s="256"/>
      <c r="D1" s="4"/>
    </row>
    <row r="2" spans="1:8" ht="1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35.25" customHeight="1" x14ac:dyDescent="0.3">
      <c r="A3" s="1" t="s">
        <v>159</v>
      </c>
      <c r="B3" s="109" t="s">
        <v>1380</v>
      </c>
      <c r="C3" s="109"/>
      <c r="D3" s="109"/>
      <c r="E3" s="6"/>
      <c r="F3" s="6"/>
      <c r="G3" s="6"/>
      <c r="H3" s="6"/>
    </row>
    <row r="4" spans="1:8" ht="35.25" customHeight="1" x14ac:dyDescent="0.3">
      <c r="A4" s="1" t="s">
        <v>1</v>
      </c>
      <c r="B4" s="257" t="s">
        <v>1381</v>
      </c>
      <c r="C4" s="257"/>
      <c r="D4" s="4"/>
    </row>
    <row r="5" spans="1:8" ht="35.25" customHeight="1" x14ac:dyDescent="0.3">
      <c r="A5" s="1" t="s">
        <v>97</v>
      </c>
      <c r="B5" s="258" t="s">
        <v>1382</v>
      </c>
      <c r="C5" s="258"/>
      <c r="D5" s="4"/>
    </row>
    <row r="6" spans="1:8" ht="35.25" customHeight="1" x14ac:dyDescent="0.3">
      <c r="A6" s="1" t="s">
        <v>2</v>
      </c>
      <c r="B6" s="259">
        <v>45912</v>
      </c>
      <c r="C6" s="259"/>
      <c r="D6" s="4"/>
    </row>
    <row r="7" spans="1:8" ht="35.25" customHeight="1" x14ac:dyDescent="0.3">
      <c r="A7" s="1" t="s">
        <v>3</v>
      </c>
      <c r="B7" s="257">
        <v>28</v>
      </c>
      <c r="C7" s="257"/>
      <c r="D7" s="55"/>
    </row>
    <row r="8" spans="1:8" ht="35.25" customHeight="1" x14ac:dyDescent="0.3">
      <c r="A8" s="1" t="s">
        <v>4</v>
      </c>
      <c r="B8" s="257" t="str">
        <f>"max. "&amp;TEXT(ROWS(PARAMETERS!$A$2:$A$415),"0")&amp;" / "&amp;TEXT(ROWS(PARAMETERLISTE),"0")&amp;" (input/output GDL)"</f>
        <v>max. 414 / 414 (input/output GDL)</v>
      </c>
      <c r="C8" s="257"/>
      <c r="D8" s="4" t="s">
        <v>5</v>
      </c>
    </row>
    <row r="9" spans="1:8" ht="35.25" customHeight="1" x14ac:dyDescent="0.3">
      <c r="A9" s="1"/>
      <c r="B9" s="257" t="str">
        <f>TEXT(COUNTIF(PARAMETERS!$A$2:$A$415,"G"),"0")&amp;" (GDL) /  "&amp;TEXT(COUNTIF(PARAMETERS!$A$2:$A$415,"P"),"0")&amp;" (Properties)"</f>
        <v>341 (GDL) /  0 (Properties)</v>
      </c>
      <c r="C9" s="257"/>
      <c r="D9" s="4"/>
    </row>
    <row r="10" spans="1:8" ht="35.25" customHeight="1" x14ac:dyDescent="0.3">
      <c r="A10" s="1" t="s">
        <v>7</v>
      </c>
      <c r="B10" s="257" t="str">
        <f>"for max. "&amp;TEXT(ROWS(VALUESLIST),"0")&amp;" parameters"</f>
        <v>for max. 92 parameters</v>
      </c>
      <c r="C10" s="257"/>
      <c r="D10" s="4" t="s">
        <v>6</v>
      </c>
    </row>
    <row r="11" spans="1:8" ht="35.25" customHeight="1" x14ac:dyDescent="0.3">
      <c r="A11" s="1" t="s">
        <v>8</v>
      </c>
      <c r="B11" s="257" t="str">
        <f>"max. "&amp;TEXT(ROWS(VALUESval),"0")&amp;" items for value list (per parameter)"</f>
        <v>max. 91 items for value list (per parameter)</v>
      </c>
      <c r="C11" s="257"/>
      <c r="D11" s="4" t="s">
        <v>5</v>
      </c>
    </row>
    <row r="12" spans="1:8" ht="36" customHeight="1" x14ac:dyDescent="0.3">
      <c r="A12" s="1"/>
    </row>
    <row r="13" spans="1:8" ht="24" customHeight="1" x14ac:dyDescent="0.3">
      <c r="A13" s="1"/>
      <c r="B13" s="242"/>
      <c r="C13" s="65" t="s">
        <v>154</v>
      </c>
      <c r="D13" s="65" t="s">
        <v>158</v>
      </c>
      <c r="F13" s="65" t="s">
        <v>153</v>
      </c>
    </row>
    <row r="14" spans="1:8" ht="24" customHeight="1" x14ac:dyDescent="0.25">
      <c r="A14" s="7" t="s">
        <v>1045</v>
      </c>
      <c r="B14" s="14" t="s">
        <v>1046</v>
      </c>
      <c r="C14" s="14"/>
      <c r="D14" s="14"/>
      <c r="F14" s="95" t="s">
        <v>152</v>
      </c>
    </row>
    <row r="15" spans="1:8" ht="24" customHeight="1" x14ac:dyDescent="0.25">
      <c r="A15" s="7"/>
      <c r="B15" s="14" t="s">
        <v>1047</v>
      </c>
      <c r="C15" s="14"/>
      <c r="D15" s="14"/>
      <c r="F15" s="95" t="s">
        <v>141</v>
      </c>
    </row>
    <row r="16" spans="1:8" ht="24" customHeight="1" x14ac:dyDescent="0.25">
      <c r="A16" s="7"/>
      <c r="B16" s="17" t="s">
        <v>1048</v>
      </c>
      <c r="C16" s="14"/>
      <c r="F16" s="243"/>
    </row>
    <row r="17" spans="1:6" ht="24" customHeight="1" x14ac:dyDescent="0.25">
      <c r="A17" s="7"/>
      <c r="B17" s="14"/>
      <c r="C17" s="14"/>
      <c r="D17" s="14"/>
      <c r="F17" s="95"/>
    </row>
    <row r="18" spans="1:6" ht="24" customHeight="1" x14ac:dyDescent="0.25">
      <c r="A18" s="7" t="s">
        <v>1049</v>
      </c>
      <c r="B18" s="14" t="s">
        <v>157</v>
      </c>
      <c r="C18" s="14"/>
      <c r="F18" s="95" t="s">
        <v>165</v>
      </c>
    </row>
    <row r="19" spans="1:6" ht="24" customHeight="1" x14ac:dyDescent="0.25">
      <c r="A19" s="7"/>
      <c r="B19" s="14" t="s">
        <v>156</v>
      </c>
      <c r="C19" s="14"/>
      <c r="F19" s="95" t="s">
        <v>183</v>
      </c>
    </row>
    <row r="20" spans="1:6" ht="24" customHeight="1" x14ac:dyDescent="0.25">
      <c r="A20" s="7"/>
      <c r="B20" s="14" t="s">
        <v>155</v>
      </c>
      <c r="C20" s="14"/>
      <c r="F20" s="95" t="s">
        <v>166</v>
      </c>
    </row>
    <row r="21" spans="1:6" ht="24" customHeight="1" x14ac:dyDescent="0.25">
      <c r="A21" s="7"/>
      <c r="B21" s="3"/>
      <c r="C21" s="14"/>
    </row>
    <row r="22" spans="1:6" ht="24" customHeight="1" x14ac:dyDescent="0.25">
      <c r="A22" s="7" t="s">
        <v>1050</v>
      </c>
      <c r="B22" s="14" t="s">
        <v>1051</v>
      </c>
      <c r="C22" s="14"/>
      <c r="F22" s="95" t="s">
        <v>167</v>
      </c>
    </row>
    <row r="23" spans="1:6" ht="24" customHeight="1" x14ac:dyDescent="0.25">
      <c r="A23" s="7"/>
      <c r="B23" s="14" t="s">
        <v>1052</v>
      </c>
      <c r="C23" s="14"/>
      <c r="D23" s="5" t="s">
        <v>122</v>
      </c>
      <c r="F23" s="244"/>
    </row>
    <row r="24" spans="1:6" ht="24" customHeight="1" x14ac:dyDescent="0.25">
      <c r="A24" s="7"/>
      <c r="B24" s="17"/>
      <c r="C24" s="14"/>
      <c r="D24" s="5" t="s">
        <v>122</v>
      </c>
      <c r="F24" s="95"/>
    </row>
    <row r="25" spans="1:6" ht="24" customHeight="1" x14ac:dyDescent="0.25">
      <c r="A25" s="7" t="s">
        <v>1053</v>
      </c>
      <c r="B25" s="17" t="s">
        <v>162</v>
      </c>
      <c r="C25" s="14"/>
      <c r="D25" s="5"/>
      <c r="F25" s="95" t="s">
        <v>163</v>
      </c>
    </row>
    <row r="26" spans="1:6" ht="24" customHeight="1" x14ac:dyDescent="0.25">
      <c r="A26" s="7"/>
      <c r="B26" s="17"/>
      <c r="C26" s="14"/>
      <c r="D26" s="5"/>
      <c r="F26" s="95" t="s">
        <v>164</v>
      </c>
    </row>
    <row r="27" spans="1:6" ht="24" customHeight="1" x14ac:dyDescent="0.25">
      <c r="A27" s="7"/>
      <c r="B27" s="17"/>
      <c r="C27" s="14"/>
      <c r="D27" s="5"/>
      <c r="F27" s="95"/>
    </row>
    <row r="28" spans="1:6" ht="24" customHeight="1" x14ac:dyDescent="0.25">
      <c r="A28" s="7" t="s">
        <v>1054</v>
      </c>
      <c r="B28" s="17" t="s">
        <v>1055</v>
      </c>
      <c r="C28" s="14"/>
      <c r="D28" s="5" t="s">
        <v>122</v>
      </c>
      <c r="F28" s="95" t="s">
        <v>184</v>
      </c>
    </row>
    <row r="29" spans="1:6" ht="24" customHeight="1" x14ac:dyDescent="0.25"/>
    <row r="30" spans="1:6" ht="24" customHeight="1" x14ac:dyDescent="0.25"/>
    <row r="31" spans="1:6" ht="24" customHeight="1" x14ac:dyDescent="0.25"/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421"/>
  <sheetViews>
    <sheetView zoomScaleNormal="100" workbookViewId="0">
      <pane ySplit="2148" topLeftCell="A85" activePane="bottomLeft"/>
      <selection activeCell="N1" sqref="N1:N1048576"/>
      <selection pane="bottomLeft" activeCell="M7" sqref="M7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IF(OR($M2="",NOT($O2="{array}")),"",IFERROR(MATCH(PARAMETERS!$M2,DEFAULT!$B$5:$CI$5,0),""))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IF(OR($M3="",NOT($O3="{array}")),"",IFERROR(MATCH(PARAMETERS!$M3,DEFAULT!$B$5:$CI$5,0),""))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IF($AA3="","",IF($B3="I",VLOOKUP($AA3,#REF!,53,0),INDEX(VALUES!$B$1:$BF$1,1,$AA3)))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IF(OR($M4="",NOT($O4="{array}")),"",IFERROR(MATCH(PARAMETERS!$M4,DEFAULT!$B$5:$CI$5,0),""))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IF($AA4="","",IF($B4="I",VLOOKUP($AA4,#REF!,53,0),INDEX(VALUES!$B$1:$BF$1,1,$AA4)))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IF(OR($M5="",NOT($O5="{array}")),"",IFERROR(MATCH(PARAMETERS!$M5,DEFAULT!$B$5:$CI$5,0),""))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IF($AA5="","",IF($B5="I",VLOOKUP($AA5,#REF!,53,0),INDEX(VALUES!$B$1:$BF$1,1,$AA5)))</f>
        <v/>
      </c>
    </row>
    <row r="6" spans="1:30" collapsed="1" x14ac:dyDescent="0.3">
      <c r="A6" s="22" t="s">
        <v>240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IF(OR($M6="",NOT($O6="{array}")),"",IFERROR(MATCH(PARAMETERS!$M6,DEFAULT!$B$5:$CI$5,0),""))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IF($AA6="","",IF($B6="I",VLOOKUP($AA6,#REF!,53,0),INDEX(VALUES!$B$1:$BF$1,1,$AA6)))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241</v>
      </c>
      <c r="N7" s="41" t="s">
        <v>242</v>
      </c>
      <c r="R7" s="38" t="s">
        <v>195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IF(OR($M7="",NOT($O7="{array}")),"",IFERROR(MATCH(PARAMETERS!$M7,DEFAULT!$B$5:$CI$5,0),""))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IF($AA7="","",IF($B7="I",VLOOKUP($AA7,#REF!,53,0),INDEX(VALUES!$B$1:$BF$1,1,$AA7)))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243</v>
      </c>
      <c r="N8" s="14" t="s">
        <v>244</v>
      </c>
      <c r="O8" s="43">
        <v>0</v>
      </c>
      <c r="R8" s="38" t="s">
        <v>195</v>
      </c>
      <c r="S8" s="38" t="s">
        <v>112</v>
      </c>
      <c r="T8" s="38"/>
      <c r="V8" s="14" t="s">
        <v>244</v>
      </c>
      <c r="W8" s="15" t="str">
        <f>IF(IFERROR(VLOOKUP($M8,#REF!,1,0),"-")="-","","GS")</f>
        <v/>
      </c>
      <c r="Y8" s="53" t="s">
        <v>245</v>
      </c>
      <c r="Z8" s="59" t="str">
        <f>IF(OR($M8="",NOT($O8="{array}")),"",IFERROR(MATCH(PARAMETERS!$M8,DEFAULT!$B$5:$CI$5,0),""))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IF($AA8="","",IF($B8="I",VLOOKUP($AA8,#REF!,53,0),INDEX(VALUES!$B$1:$BF$1,1,$AA8)))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246</v>
      </c>
      <c r="N9" s="14" t="s">
        <v>247</v>
      </c>
      <c r="O9" s="43">
        <v>0</v>
      </c>
      <c r="R9" s="38" t="s">
        <v>195</v>
      </c>
      <c r="S9" s="38" t="s">
        <v>112</v>
      </c>
      <c r="T9" s="38"/>
      <c r="V9" s="14" t="s">
        <v>247</v>
      </c>
      <c r="W9" s="15" t="str">
        <f>IF(IFERROR(VLOOKUP($M9,#REF!,1,0),"-")="-","","GS")</f>
        <v/>
      </c>
      <c r="Y9" s="53" t="s">
        <v>245</v>
      </c>
      <c r="Z9" s="59" t="str">
        <f>IF(OR($M9="",NOT($O9="{array}")),"",IFERROR(MATCH(PARAMETERS!$M9,DEFAULT!$B$5:$CI$5,0),""))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IF($AA9="","",IF($B9="I",VLOOKUP($AA9,#REF!,53,0),INDEX(VALUES!$B$1:$BF$1,1,$AA9)))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248</v>
      </c>
      <c r="N10" s="14" t="s">
        <v>249</v>
      </c>
      <c r="O10" s="43">
        <v>0</v>
      </c>
      <c r="R10" s="38" t="s">
        <v>195</v>
      </c>
      <c r="S10" s="38" t="s">
        <v>112</v>
      </c>
      <c r="T10" s="38"/>
      <c r="V10" s="14" t="s">
        <v>249</v>
      </c>
      <c r="W10" s="15" t="str">
        <f>IF(IFERROR(VLOOKUP($M10,#REF!,1,0),"-")="-","","GS")</f>
        <v/>
      </c>
      <c r="Y10" s="53" t="s">
        <v>245</v>
      </c>
      <c r="Z10" s="59" t="str">
        <f>IF(OR($M10="",NOT($O10="{array}")),"",IFERROR(MATCH(PARAMETERS!$M10,DEFAULT!$B$5:$CI$5,0),""))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IF($AA10="","",IF($B10="I",VLOOKUP($AA10,#REF!,53,0),INDEX(VALUES!$B$1:$BF$1,1,$AA10)))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250</v>
      </c>
      <c r="N11" s="14" t="s">
        <v>251</v>
      </c>
      <c r="O11" s="43">
        <v>0</v>
      </c>
      <c r="R11" s="38" t="s">
        <v>195</v>
      </c>
      <c r="S11" s="38" t="s">
        <v>112</v>
      </c>
      <c r="T11" s="38"/>
      <c r="V11" s="14" t="s">
        <v>252</v>
      </c>
      <c r="W11" s="15" t="str">
        <f>IF(IFERROR(VLOOKUP($M11,#REF!,1,0),"-")="-","","GS")</f>
        <v/>
      </c>
      <c r="Y11" s="53" t="s">
        <v>245</v>
      </c>
      <c r="Z11" s="59" t="str">
        <f>IF(OR($M11="",NOT($O11="{array}")),"",IFERROR(MATCH(PARAMETERS!$M11,DEFAULT!$B$5:$CI$5,0),""))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IF($AA11="","",IF($B11="I",VLOOKUP($AA11,#REF!,53,0),INDEX(VALUES!$B$1:$BF$1,1,$AA11)))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253</v>
      </c>
      <c r="N12" s="14" t="s">
        <v>254</v>
      </c>
      <c r="O12" s="43">
        <v>0</v>
      </c>
      <c r="R12" s="38" t="s">
        <v>195</v>
      </c>
      <c r="S12" s="38" t="s">
        <v>112</v>
      </c>
      <c r="T12" s="38"/>
      <c r="V12" s="14" t="s">
        <v>254</v>
      </c>
      <c r="W12" s="15" t="str">
        <f>IF(IFERROR(VLOOKUP($M12,#REF!,1,0),"-")="-","","GS")</f>
        <v/>
      </c>
      <c r="Y12" s="53" t="s">
        <v>245</v>
      </c>
      <c r="Z12" s="59" t="str">
        <f>IF(OR($M12="",NOT($O12="{array}")),"",IFERROR(MATCH(PARAMETERS!$M12,DEFAULT!$B$5:$CI$5,0),""))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IF($AA12="","",IF($B12="I",VLOOKUP($AA12,#REF!,53,0),INDEX(VALUES!$B$1:$BF$1,1,$AA12)))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255</v>
      </c>
      <c r="N13" s="14" t="s">
        <v>256</v>
      </c>
      <c r="O13" s="43">
        <v>0</v>
      </c>
      <c r="R13" s="38" t="s">
        <v>195</v>
      </c>
      <c r="S13" s="38" t="s">
        <v>112</v>
      </c>
      <c r="T13" s="38"/>
      <c r="V13" s="14" t="s">
        <v>257</v>
      </c>
      <c r="W13" s="15" t="str">
        <f>IF(IFERROR(VLOOKUP($M13,#REF!,1,0),"-")="-","","GS")</f>
        <v/>
      </c>
      <c r="Y13" s="53" t="s">
        <v>245</v>
      </c>
      <c r="Z13" s="59" t="str">
        <f>IF(OR($M13="",NOT($O13="{array}")),"",IFERROR(MATCH(PARAMETERS!$M13,DEFAULT!$B$5:$CI$5,0),""))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IF($AA13="","",IF($B13="I",VLOOKUP($AA13,#REF!,53,0),INDEX(VALUES!$B$1:$BF$1,1,$AA13)))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258</v>
      </c>
      <c r="N14" s="14" t="s">
        <v>259</v>
      </c>
      <c r="O14" s="43">
        <v>0</v>
      </c>
      <c r="R14" s="38" t="s">
        <v>195</v>
      </c>
      <c r="S14" s="38" t="s">
        <v>112</v>
      </c>
      <c r="T14" s="38"/>
      <c r="V14" s="14" t="s">
        <v>260</v>
      </c>
      <c r="W14" s="15" t="str">
        <f>IF(IFERROR(VLOOKUP($M14,#REF!,1,0),"-")="-","","GS")</f>
        <v/>
      </c>
      <c r="Y14" s="53" t="s">
        <v>245</v>
      </c>
      <c r="Z14" s="59" t="str">
        <f>IF(OR($M14="",NOT($O14="{array}")),"",IFERROR(MATCH(PARAMETERS!$M14,DEFAULT!$B$5:$CI$5,0),""))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IF($AA14="","",IF($B14="I",VLOOKUP($AA14,#REF!,53,0),INDEX(VALUES!$B$1:$BF$1,1,$AA14)))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261</v>
      </c>
      <c r="N15" s="41" t="s">
        <v>262</v>
      </c>
      <c r="R15" s="38" t="s">
        <v>195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IF(OR($M15="",NOT($O15="{array}")),"",IFERROR(MATCH(PARAMETERS!$M15,DEFAULT!$B$5:$CI$5,0),""))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IF($AA15="","",IF($B15="I",VLOOKUP($AA15,#REF!,53,0),INDEX(VALUES!$B$1:$BF$1,1,$AA15)))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263</v>
      </c>
      <c r="N16" s="158" t="s">
        <v>95</v>
      </c>
      <c r="O16" s="159" t="s">
        <v>134</v>
      </c>
      <c r="P16" s="160" t="s">
        <v>264</v>
      </c>
      <c r="Q16" s="161" t="s">
        <v>9</v>
      </c>
      <c r="R16" s="162" t="s">
        <v>103</v>
      </c>
      <c r="S16" s="162" t="s">
        <v>112</v>
      </c>
      <c r="T16" s="163" t="s">
        <v>265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266</v>
      </c>
      <c r="Z16" s="59" t="str">
        <f>IF(OR($M16="",NOT($O16="{array}")),"",IFERROR(MATCH(PARAMETERS!$M16,DEFAULT!$B$5:$CI$5,0),""))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IF($AA16="","",IF($B16="I",VLOOKUP($AA16,#REF!,53,0),INDEX(VALUES!$B$1:$BF$1,1,$AA16)))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267</v>
      </c>
      <c r="N17" s="168" t="s">
        <v>268</v>
      </c>
      <c r="O17" s="159" t="s">
        <v>134</v>
      </c>
      <c r="P17" s="160" t="s">
        <v>264</v>
      </c>
      <c r="Q17" s="161" t="s">
        <v>9</v>
      </c>
      <c r="R17" s="162" t="s">
        <v>103</v>
      </c>
      <c r="S17" s="162" t="s">
        <v>112</v>
      </c>
      <c r="T17" s="163" t="s">
        <v>265</v>
      </c>
      <c r="U17" s="163" t="s">
        <v>114</v>
      </c>
      <c r="V17" s="163" t="s">
        <v>268</v>
      </c>
      <c r="W17" s="164" t="str">
        <f>IF(IFERROR(VLOOKUP($M17,#REF!,1,0),"-")="-","","GS")</f>
        <v/>
      </c>
      <c r="X17" s="165">
        <v>32</v>
      </c>
      <c r="Y17" s="163" t="s">
        <v>269</v>
      </c>
      <c r="Z17" s="59" t="str">
        <f>IF(OR($M17="",NOT($O17="{array}")),"",IFERROR(MATCH(PARAMETERS!$M17,DEFAULT!$B$5:$CI$5,0),""))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IF($AA17="","",IF($B17="I",VLOOKUP($AA17,#REF!,53,0),INDEX(VALUES!$B$1:$BF$1,1,$AA17)))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270</v>
      </c>
      <c r="N18" s="158" t="s">
        <v>271</v>
      </c>
      <c r="O18" s="159" t="s">
        <v>134</v>
      </c>
      <c r="P18" s="160" t="s">
        <v>264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271</v>
      </c>
      <c r="W18" s="164" t="str">
        <f>IF(IFERROR(VLOOKUP($M18,#REF!,1,0),"-")="-","","GS")</f>
        <v/>
      </c>
      <c r="X18" s="165">
        <v>33</v>
      </c>
      <c r="Y18" s="163" t="s">
        <v>272</v>
      </c>
      <c r="Z18" s="59" t="str">
        <f>IF(OR($M18="",NOT($O18="{array}")),"",IFERROR(MATCH(PARAMETERS!$M18,DEFAULT!$B$5:$CI$5,0),""))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IF($AA18="","",IF($B18="I",VLOOKUP($AA18,#REF!,53,0),INDEX(VALUES!$B$1:$BF$1,1,$AA18)))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273</v>
      </c>
      <c r="N19" s="158" t="s">
        <v>274</v>
      </c>
      <c r="O19" s="159" t="s">
        <v>134</v>
      </c>
      <c r="P19" s="160" t="s">
        <v>264</v>
      </c>
      <c r="Q19" s="161" t="s">
        <v>9</v>
      </c>
      <c r="R19" s="162" t="s">
        <v>103</v>
      </c>
      <c r="S19" s="162" t="s">
        <v>112</v>
      </c>
      <c r="T19" s="163" t="s">
        <v>264</v>
      </c>
      <c r="U19" s="163" t="s">
        <v>114</v>
      </c>
      <c r="V19" s="163" t="s">
        <v>275</v>
      </c>
      <c r="W19" s="164" t="str">
        <f>IF(IFERROR(VLOOKUP($M19,#REF!,1,0),"-")="-","","GS")</f>
        <v/>
      </c>
      <c r="X19" s="165">
        <v>41</v>
      </c>
      <c r="Y19" s="163" t="s">
        <v>276</v>
      </c>
      <c r="Z19" s="59" t="str">
        <f>IF(OR($M19="",NOT($O19="{array}")),"",IFERROR(MATCH(PARAMETERS!$M19,DEFAULT!$B$5:$CI$5,0),""))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IF($AA19="","",IF($B19="I",VLOOKUP($AA19,#REF!,53,0),INDEX(VALUES!$B$1:$BF$1,1,$AA19)))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277</v>
      </c>
      <c r="N20" s="168" t="s">
        <v>278</v>
      </c>
      <c r="O20" s="159" t="s">
        <v>134</v>
      </c>
      <c r="P20" s="160" t="s">
        <v>264</v>
      </c>
      <c r="Q20" s="161" t="s">
        <v>9</v>
      </c>
      <c r="R20" s="162" t="s">
        <v>103</v>
      </c>
      <c r="S20" s="162" t="s">
        <v>112</v>
      </c>
      <c r="T20" s="163" t="s">
        <v>264</v>
      </c>
      <c r="U20" s="163" t="s">
        <v>114</v>
      </c>
      <c r="V20" s="163" t="s">
        <v>278</v>
      </c>
      <c r="W20" s="164" t="str">
        <f>IF(IFERROR(VLOOKUP($M20,#REF!,1,0),"-")="-","","GS")</f>
        <v/>
      </c>
      <c r="X20" s="165">
        <v>34</v>
      </c>
      <c r="Y20" s="163" t="s">
        <v>279</v>
      </c>
      <c r="Z20" s="59" t="str">
        <f>IF(OR($M20="",NOT($O20="{array}")),"",IFERROR(MATCH(PARAMETERS!$M20,DEFAULT!$B$5:$CI$5,0),""))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IF($AA20="","",IF($B20="I",VLOOKUP($AA20,#REF!,53,0),INDEX(VALUES!$B$1:$BF$1,1,$AA20)))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280</v>
      </c>
      <c r="N21" s="168" t="s">
        <v>281</v>
      </c>
      <c r="O21" s="159" t="s">
        <v>134</v>
      </c>
      <c r="P21" s="160" t="s">
        <v>264</v>
      </c>
      <c r="Q21" s="161" t="s">
        <v>9</v>
      </c>
      <c r="R21" s="162" t="s">
        <v>103</v>
      </c>
      <c r="S21" s="162" t="s">
        <v>112</v>
      </c>
      <c r="T21" s="163" t="s">
        <v>264</v>
      </c>
      <c r="U21" s="163" t="s">
        <v>114</v>
      </c>
      <c r="V21" s="163" t="s">
        <v>281</v>
      </c>
      <c r="W21" s="164" t="str">
        <f>IF(IFERROR(VLOOKUP($M21,#REF!,1,0),"-")="-","","GS")</f>
        <v/>
      </c>
      <c r="X21" s="165" t="s">
        <v>264</v>
      </c>
      <c r="Y21" s="163" t="s">
        <v>282</v>
      </c>
      <c r="Z21" s="59" t="str">
        <f>IF(OR($M21="",NOT($O21="{array}")),"",IFERROR(MATCH(PARAMETERS!$M21,DEFAULT!$B$5:$CI$5,0),""))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IF($AA21="","",IF($B21="I",VLOOKUP($AA21,#REF!,53,0),INDEX(VALUES!$B$1:$BF$1,1,$AA21)))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283</v>
      </c>
      <c r="N22" s="168" t="s">
        <v>284</v>
      </c>
      <c r="O22" s="159" t="s">
        <v>134</v>
      </c>
      <c r="P22" s="160" t="s">
        <v>264</v>
      </c>
      <c r="Q22" s="161" t="s">
        <v>9</v>
      </c>
      <c r="R22" s="162" t="s">
        <v>103</v>
      </c>
      <c r="S22" s="162" t="s">
        <v>112</v>
      </c>
      <c r="T22" s="163" t="s">
        <v>264</v>
      </c>
      <c r="U22" s="163" t="s">
        <v>114</v>
      </c>
      <c r="V22" s="163" t="s">
        <v>284</v>
      </c>
      <c r="W22" s="164" t="str">
        <f>IF(IFERROR(VLOOKUP($M22,#REF!,1,0),"-")="-","","GS")</f>
        <v/>
      </c>
      <c r="X22" s="165" t="s">
        <v>264</v>
      </c>
      <c r="Y22" s="163" t="s">
        <v>285</v>
      </c>
      <c r="Z22" s="59" t="str">
        <f>IF(OR($M22="",NOT($O22="{array}")),"",IFERROR(MATCH(PARAMETERS!$M22,DEFAULT!$B$5:$CI$5,0),""))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IF($AA22="","",IF($B22="I",VLOOKUP($AA22,#REF!,53,0),INDEX(VALUES!$B$1:$BF$1,1,$AA22)))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286</v>
      </c>
      <c r="N23" s="168" t="s">
        <v>287</v>
      </c>
      <c r="O23" s="159" t="s">
        <v>134</v>
      </c>
      <c r="P23" s="160" t="s">
        <v>264</v>
      </c>
      <c r="Q23" s="161" t="s">
        <v>9</v>
      </c>
      <c r="R23" s="162" t="s">
        <v>103</v>
      </c>
      <c r="S23" s="162" t="s">
        <v>112</v>
      </c>
      <c r="T23" s="163" t="s">
        <v>264</v>
      </c>
      <c r="U23" s="163" t="s">
        <v>114</v>
      </c>
      <c r="V23" s="163" t="s">
        <v>287</v>
      </c>
      <c r="W23" s="164" t="str">
        <f>IF(IFERROR(VLOOKUP($M23,#REF!,1,0),"-")="-","","GS")</f>
        <v/>
      </c>
      <c r="X23" s="165" t="s">
        <v>264</v>
      </c>
      <c r="Y23" s="163" t="s">
        <v>288</v>
      </c>
      <c r="Z23" s="59" t="str">
        <f>IF(OR($M23="",NOT($O23="{array}")),"",IFERROR(MATCH(PARAMETERS!$M23,DEFAULT!$B$5:$CI$5,0),""))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IF($AA23="","",IF($B23="I",VLOOKUP($AA23,#REF!,53,0),INDEX(VALUES!$B$1:$BF$1,1,$AA23)))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289</v>
      </c>
      <c r="N24" s="168" t="s">
        <v>290</v>
      </c>
      <c r="O24" s="159" t="s">
        <v>134</v>
      </c>
      <c r="P24" s="160" t="s">
        <v>264</v>
      </c>
      <c r="Q24" s="161" t="s">
        <v>9</v>
      </c>
      <c r="R24" s="162" t="s">
        <v>103</v>
      </c>
      <c r="S24" s="162" t="s">
        <v>112</v>
      </c>
      <c r="T24" s="163" t="s">
        <v>264</v>
      </c>
      <c r="U24" s="163" t="s">
        <v>114</v>
      </c>
      <c r="V24" s="163" t="s">
        <v>290</v>
      </c>
      <c r="W24" s="164" t="str">
        <f>IF(IFERROR(VLOOKUP($M24,#REF!,1,0),"-")="-","","GS")</f>
        <v/>
      </c>
      <c r="X24" s="165" t="s">
        <v>264</v>
      </c>
      <c r="Y24" s="163" t="s">
        <v>291</v>
      </c>
      <c r="Z24" s="59" t="str">
        <f>IF(OR($M24="",NOT($O24="{array}")),"",IFERROR(MATCH(PARAMETERS!$M24,DEFAULT!$B$5:$CI$5,0),""))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IF($AA24="","",IF($B24="I",VLOOKUP($AA24,#REF!,53,0),INDEX(VALUES!$B$1:$BF$1,1,$AA24)))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292</v>
      </c>
      <c r="N25" s="168" t="s">
        <v>293</v>
      </c>
      <c r="O25" s="159" t="s">
        <v>134</v>
      </c>
      <c r="P25" s="160" t="s">
        <v>264</v>
      </c>
      <c r="Q25" s="161" t="s">
        <v>9</v>
      </c>
      <c r="R25" s="162" t="s">
        <v>103</v>
      </c>
      <c r="S25" s="162" t="s">
        <v>112</v>
      </c>
      <c r="T25" s="163" t="s">
        <v>264</v>
      </c>
      <c r="U25" s="163" t="s">
        <v>114</v>
      </c>
      <c r="V25" s="163" t="s">
        <v>293</v>
      </c>
      <c r="W25" s="164" t="str">
        <f>IF(IFERROR(VLOOKUP($M25,#REF!,1,0),"-")="-","","GS")</f>
        <v/>
      </c>
      <c r="X25" s="165" t="s">
        <v>264</v>
      </c>
      <c r="Y25" s="163" t="s">
        <v>294</v>
      </c>
      <c r="Z25" s="59" t="str">
        <f>IF(OR($M25="",NOT($O25="{array}")),"",IFERROR(MATCH(PARAMETERS!$M25,DEFAULT!$B$5:$CI$5,0),""))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IF($AA25="","",IF($B25="I",VLOOKUP($AA25,#REF!,53,0),INDEX(VALUES!$B$1:$BF$1,1,$AA25)))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295</v>
      </c>
      <c r="N26" s="169" t="s">
        <v>296</v>
      </c>
      <c r="O26" s="159" t="s">
        <v>134</v>
      </c>
      <c r="P26" s="160" t="s">
        <v>264</v>
      </c>
      <c r="Q26" s="170" t="s">
        <v>9</v>
      </c>
      <c r="R26" s="171" t="s">
        <v>103</v>
      </c>
      <c r="S26" s="171" t="s">
        <v>112</v>
      </c>
      <c r="T26" s="166" t="s">
        <v>264</v>
      </c>
      <c r="U26" s="166" t="s">
        <v>114</v>
      </c>
      <c r="V26" s="166" t="s">
        <v>296</v>
      </c>
      <c r="W26" s="172" t="str">
        <f>IF(IFERROR(VLOOKUP($M26,#REF!,1,0),"-")="-","","GS")</f>
        <v/>
      </c>
      <c r="X26" s="160" t="s">
        <v>264</v>
      </c>
      <c r="Y26" s="166" t="s">
        <v>297</v>
      </c>
      <c r="Z26" s="59" t="str">
        <f>IF(OR($M26="",NOT($O26="{array}")),"",IFERROR(MATCH(PARAMETERS!$M26,DEFAULT!$B$5:$CI$5,0),""))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IF($AA26="","",IF($B26="I",VLOOKUP($AA26,#REF!,53,0),INDEX(VALUES!$B$1:$BF$1,1,$AA26)))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298</v>
      </c>
      <c r="N27" s="168" t="s">
        <v>299</v>
      </c>
      <c r="O27" s="173" t="s">
        <v>264</v>
      </c>
      <c r="P27" s="174" t="s">
        <v>264</v>
      </c>
      <c r="Q27" s="161" t="s">
        <v>9</v>
      </c>
      <c r="R27" s="162" t="s">
        <v>103</v>
      </c>
      <c r="S27" s="162" t="s">
        <v>112</v>
      </c>
      <c r="T27" s="163" t="s">
        <v>264</v>
      </c>
      <c r="U27" s="163" t="s">
        <v>114</v>
      </c>
      <c r="V27" s="163" t="s">
        <v>300</v>
      </c>
      <c r="W27" s="164" t="str">
        <f>IF(IFERROR(VLOOKUP($M27,#REF!,1,0),"-")="-","","GS")</f>
        <v/>
      </c>
      <c r="X27" s="165" t="s">
        <v>264</v>
      </c>
      <c r="Y27" s="163" t="s">
        <v>301</v>
      </c>
      <c r="Z27" s="59" t="str">
        <f>IF(OR($M27="",NOT($O27="{array}")),"",IFERROR(MATCH(PARAMETERS!$M27,DEFAULT!$B$5:$CI$5,0),""))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IF($AA27="","",IF($B27="I",VLOOKUP($AA27,#REF!,53,0),INDEX(VALUES!$B$1:$BF$1,1,$AA27)))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302</v>
      </c>
      <c r="N28" s="41" t="s">
        <v>303</v>
      </c>
      <c r="R28" s="38" t="s">
        <v>195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IF(OR($M28="",NOT($O28="{array}")),"",IFERROR(MATCH(PARAMETERS!$M28,DEFAULT!$B$5:$CI$5,0),""))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IF($AA28="","",IF($B28="I",VLOOKUP($AA28,#REF!,53,0),INDEX(VALUES!$B$1:$BF$1,1,$AA28)))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304</v>
      </c>
      <c r="N29" s="53" t="s">
        <v>305</v>
      </c>
      <c r="O29" s="159" t="s">
        <v>134</v>
      </c>
      <c r="P29" s="160" t="s">
        <v>264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264</v>
      </c>
      <c r="V29" s="166" t="s">
        <v>306</v>
      </c>
      <c r="W29" s="15" t="str">
        <f>IF(IFERROR(VLOOKUP($M29,#REF!,1,0),"-")="-","","GS")</f>
        <v/>
      </c>
      <c r="X29" s="160">
        <v>40</v>
      </c>
      <c r="Y29" s="166" t="s">
        <v>307</v>
      </c>
      <c r="Z29" s="59" t="str">
        <f>IF(OR($M29="",NOT($O29="{array}")),"",IFERROR(MATCH(PARAMETERS!$M29,DEFAULT!$B$5:$CI$5,0),""))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IF($AA29="","",IF($B29="I",VLOOKUP($AA29,#REF!,53,0),INDEX(VALUES!$B$1:$BF$1,1,$AA29)))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308</v>
      </c>
      <c r="N30" s="159" t="s">
        <v>309</v>
      </c>
      <c r="O30" s="159">
        <v>0.8</v>
      </c>
      <c r="P30" s="176" t="s">
        <v>264</v>
      </c>
      <c r="Q30" s="177" t="s">
        <v>9</v>
      </c>
      <c r="R30" s="178" t="s">
        <v>103</v>
      </c>
      <c r="S30" s="178" t="s">
        <v>112</v>
      </c>
      <c r="T30" s="159" t="s">
        <v>264</v>
      </c>
      <c r="U30" s="159" t="s">
        <v>264</v>
      </c>
      <c r="V30" s="179"/>
      <c r="W30" s="15"/>
      <c r="X30" s="160"/>
      <c r="Y30" s="159" t="s">
        <v>309</v>
      </c>
      <c r="Z30" s="59" t="str">
        <f>IF(OR($M30="",NOT($O30="{array}")),"",IFERROR(MATCH(PARAMETERS!$M30,DEFAULT!$B$5:$CI$5,0),""))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IF($AA30="","",IF($B30="I",VLOOKUP($AA30,#REF!,53,0),INDEX(VALUES!$B$1:$BF$1,1,$AA30)))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310</v>
      </c>
      <c r="N31" s="159" t="s">
        <v>311</v>
      </c>
      <c r="O31" s="159">
        <v>2</v>
      </c>
      <c r="P31" s="176" t="s">
        <v>264</v>
      </c>
      <c r="Q31" s="177" t="s">
        <v>9</v>
      </c>
      <c r="R31" s="178" t="s">
        <v>103</v>
      </c>
      <c r="S31" s="178" t="s">
        <v>112</v>
      </c>
      <c r="T31" s="159" t="s">
        <v>264</v>
      </c>
      <c r="U31" s="159" t="s">
        <v>264</v>
      </c>
      <c r="V31" s="179"/>
      <c r="W31" s="15"/>
      <c r="X31" s="160"/>
      <c r="Y31" s="159" t="s">
        <v>311</v>
      </c>
      <c r="Z31" s="59" t="str">
        <f>IF(OR($M31="",NOT($O31="{array}")),"",IFERROR(MATCH(PARAMETERS!$M31,DEFAULT!$B$5:$CI$5,0),""))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IF($AA31="","",IF($B31="I",VLOOKUP($AA31,#REF!,53,0),INDEX(VALUES!$B$1:$BF$1,1,$AA31)))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312</v>
      </c>
      <c r="N32" s="159" t="s">
        <v>313</v>
      </c>
      <c r="O32" s="159">
        <v>90</v>
      </c>
      <c r="P32" s="176" t="s">
        <v>264</v>
      </c>
      <c r="Q32" s="177" t="s">
        <v>9</v>
      </c>
      <c r="R32" s="178" t="s">
        <v>103</v>
      </c>
      <c r="S32" s="178" t="s">
        <v>112</v>
      </c>
      <c r="T32" s="159" t="s">
        <v>264</v>
      </c>
      <c r="U32" s="159" t="s">
        <v>264</v>
      </c>
      <c r="V32" s="159" t="s">
        <v>313</v>
      </c>
      <c r="W32" s="15" t="str">
        <f>IF(IFERROR(VLOOKUP($M32,#REF!,1,0),"-")="-","","GS")</f>
        <v/>
      </c>
      <c r="X32" s="176" t="s">
        <v>264</v>
      </c>
      <c r="Y32" s="159" t="s">
        <v>313</v>
      </c>
      <c r="Z32" s="59" t="str">
        <f>IF(OR($M32="",NOT($O32="{array}")),"",IFERROR(MATCH(PARAMETERS!$M32,DEFAULT!$B$5:$CI$5,0),""))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IF($AA32="","",IF($B32="I",VLOOKUP($AA32,#REF!,53,0),INDEX(VALUES!$B$1:$BF$1,1,$AA32)))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314</v>
      </c>
      <c r="N33" s="166" t="s">
        <v>315</v>
      </c>
      <c r="O33" s="159">
        <v>0</v>
      </c>
      <c r="P33" s="160" t="s">
        <v>264</v>
      </c>
      <c r="Q33" s="170" t="s">
        <v>9</v>
      </c>
      <c r="R33" s="171" t="s">
        <v>103</v>
      </c>
      <c r="S33" s="171" t="s">
        <v>112</v>
      </c>
      <c r="T33" s="166" t="s">
        <v>264</v>
      </c>
      <c r="U33" s="166" t="s">
        <v>264</v>
      </c>
      <c r="V33" s="166" t="s">
        <v>315</v>
      </c>
      <c r="W33" s="15" t="str">
        <f>IF(IFERROR(VLOOKUP($M33,#REF!,1,0),"-")="-","","GS")</f>
        <v/>
      </c>
      <c r="X33" s="160" t="s">
        <v>264</v>
      </c>
      <c r="Y33" s="166" t="s">
        <v>316</v>
      </c>
      <c r="Z33" s="59" t="str">
        <f>IF(OR($M33="",NOT($O33="{array}")),"",IFERROR(MATCH(PARAMETERS!$M33,DEFAULT!$B$5:$CI$5,0),""))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IF($AA33="","",IF($B33="I",VLOOKUP($AA33,#REF!,53,0),INDEX(VALUES!$B$1:$BF$1,1,$AA33)))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317</v>
      </c>
      <c r="N34" s="166" t="s">
        <v>318</v>
      </c>
      <c r="O34" s="159" t="s">
        <v>134</v>
      </c>
      <c r="P34" s="160" t="s">
        <v>264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264</v>
      </c>
      <c r="V34" s="166" t="s">
        <v>318</v>
      </c>
      <c r="W34" s="15" t="str">
        <f>IF(IFERROR(VLOOKUP($M34,#REF!,1,0),"-")="-","","GS")</f>
        <v/>
      </c>
      <c r="X34" s="160" t="s">
        <v>718</v>
      </c>
      <c r="Y34" s="166" t="s">
        <v>319</v>
      </c>
      <c r="Z34" s="59" t="str">
        <f>IF(OR($M34="",NOT($O34="{array}")),"",IFERROR(MATCH(PARAMETERS!$M34,DEFAULT!$B$5:$CI$5,0),""))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IF($AA34="","",IF($B34="I",VLOOKUP($AA34,#REF!,53,0),INDEX(VALUES!$B$1:$BF$1,1,$AA34)))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320</v>
      </c>
      <c r="N35" s="166" t="s">
        <v>321</v>
      </c>
      <c r="O35" s="159" t="s">
        <v>134</v>
      </c>
      <c r="P35" s="160" t="s">
        <v>264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264</v>
      </c>
      <c r="V35" s="166" t="s">
        <v>321</v>
      </c>
      <c r="W35" s="15" t="str">
        <f>IF(IFERROR(VLOOKUP($M35,#REF!,1,0),"-")="-","","GS")</f>
        <v/>
      </c>
      <c r="X35" s="160">
        <v>43</v>
      </c>
      <c r="Y35" s="166" t="s">
        <v>322</v>
      </c>
      <c r="Z35" s="59" t="str">
        <f>IF(OR($M35="",NOT($O35="{array}")),"",IFERROR(MATCH(PARAMETERS!$M35,DEFAULT!$B$5:$CI$5,0),""))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IF($AA35="","",IF($B35="I",VLOOKUP($AA35,#REF!,53,0),INDEX(VALUES!$B$1:$BF$1,1,$AA35)))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323</v>
      </c>
      <c r="N36" s="166" t="s">
        <v>324</v>
      </c>
      <c r="O36" s="159" t="s">
        <v>134</v>
      </c>
      <c r="P36" s="160" t="s">
        <v>264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264</v>
      </c>
      <c r="V36" s="166" t="s">
        <v>324</v>
      </c>
      <c r="W36" s="15" t="str">
        <f>IF(IFERROR(VLOOKUP($M36,#REF!,1,0),"-")="-","","GS")</f>
        <v/>
      </c>
      <c r="X36" s="160" t="s">
        <v>264</v>
      </c>
      <c r="Y36" s="166" t="s">
        <v>325</v>
      </c>
      <c r="Z36" s="59" t="str">
        <f>IF(OR($M36="",NOT($O36="{array}")),"",IFERROR(MATCH(PARAMETERS!$M36,DEFAULT!$B$5:$CI$5,0),""))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IF($AA36="","",IF($B36="I",VLOOKUP($AA36,#REF!,53,0),INDEX(VALUES!$B$1:$BF$1,1,$AA36)))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326</v>
      </c>
      <c r="N37" s="166" t="s">
        <v>327</v>
      </c>
      <c r="O37" s="159" t="s">
        <v>134</v>
      </c>
      <c r="P37" s="160" t="s">
        <v>264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264</v>
      </c>
      <c r="V37" s="166" t="s">
        <v>327</v>
      </c>
      <c r="W37" s="15" t="str">
        <f>IF(IFERROR(VLOOKUP($M37,#REF!,1,0),"-")="-","","GS")</f>
        <v/>
      </c>
      <c r="X37" s="160" t="s">
        <v>264</v>
      </c>
      <c r="Y37" s="166" t="s">
        <v>328</v>
      </c>
      <c r="Z37" s="59" t="str">
        <f>IF(OR($M37="",NOT($O37="{array}")),"",IFERROR(MATCH(PARAMETERS!$M37,DEFAULT!$B$5:$CI$5,0),""))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IF($AA37="","",IF($B37="I",VLOOKUP($AA37,#REF!,53,0),INDEX(VALUES!$B$1:$BF$1,1,$AA37)))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329</v>
      </c>
      <c r="N38" s="163" t="s">
        <v>330</v>
      </c>
      <c r="O38" s="159" t="s">
        <v>134</v>
      </c>
      <c r="P38" s="160" t="s">
        <v>264</v>
      </c>
      <c r="Q38" s="161" t="s">
        <v>9</v>
      </c>
      <c r="R38" s="162" t="s">
        <v>103</v>
      </c>
      <c r="S38" s="162" t="s">
        <v>112</v>
      </c>
      <c r="T38" s="163" t="s">
        <v>264</v>
      </c>
      <c r="U38" s="163" t="s">
        <v>114</v>
      </c>
      <c r="V38" s="163" t="s">
        <v>330</v>
      </c>
      <c r="W38" s="164" t="str">
        <f>IF(IFERROR(VLOOKUP($M38,#REF!,1,0),"-")="-","","GS")</f>
        <v/>
      </c>
      <c r="X38" s="165">
        <v>38</v>
      </c>
      <c r="Y38" s="163" t="s">
        <v>331</v>
      </c>
      <c r="Z38" s="59" t="str">
        <f>IF(OR($M38="",NOT($O38="{array}")),"",IFERROR(MATCH(PARAMETERS!$M38,DEFAULT!$B$5:$CI$5,0),""))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IF($AA38="","",IF($B38="I",VLOOKUP($AA38,#REF!,53,0),INDEX(VALUES!$B$1:$BF$1,1,$AA38)))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332</v>
      </c>
      <c r="N39" s="163" t="s">
        <v>333</v>
      </c>
      <c r="O39" s="159" t="s">
        <v>134</v>
      </c>
      <c r="P39" s="160" t="s">
        <v>264</v>
      </c>
      <c r="Q39" s="161" t="s">
        <v>9</v>
      </c>
      <c r="R39" s="162" t="s">
        <v>103</v>
      </c>
      <c r="S39" s="162" t="s">
        <v>112</v>
      </c>
      <c r="T39" s="163" t="s">
        <v>264</v>
      </c>
      <c r="U39" s="163" t="s">
        <v>114</v>
      </c>
      <c r="V39" s="163" t="s">
        <v>333</v>
      </c>
      <c r="W39" s="164" t="str">
        <f>IF(IFERROR(VLOOKUP($M39,#REF!,1,0),"-")="-","","GS")</f>
        <v/>
      </c>
      <c r="X39" s="165">
        <v>35</v>
      </c>
      <c r="Y39" s="163" t="s">
        <v>334</v>
      </c>
      <c r="Z39" s="59" t="str">
        <f>IF(OR($M39="",NOT($O39="{array}")),"",IFERROR(MATCH(PARAMETERS!$M39,DEFAULT!$B$5:$CI$5,0),""))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IF($AA39="","",IF($B39="I",VLOOKUP($AA39,#REF!,53,0),INDEX(VALUES!$B$1:$BF$1,1,$AA39)))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335</v>
      </c>
      <c r="N40" s="163" t="s">
        <v>336</v>
      </c>
      <c r="O40" s="159" t="s">
        <v>134</v>
      </c>
      <c r="P40" s="160" t="s">
        <v>264</v>
      </c>
      <c r="Q40" s="161" t="s">
        <v>9</v>
      </c>
      <c r="R40" s="162" t="s">
        <v>103</v>
      </c>
      <c r="S40" s="162" t="s">
        <v>112</v>
      </c>
      <c r="T40" s="163" t="s">
        <v>264</v>
      </c>
      <c r="U40" s="163" t="s">
        <v>114</v>
      </c>
      <c r="V40" s="163" t="s">
        <v>336</v>
      </c>
      <c r="W40" s="164" t="str">
        <f>IF(IFERROR(VLOOKUP($M40,#REF!,1,0),"-")="-","","GS")</f>
        <v/>
      </c>
      <c r="X40" s="165">
        <v>36</v>
      </c>
      <c r="Y40" s="163" t="s">
        <v>337</v>
      </c>
      <c r="Z40" s="59" t="str">
        <f>IF(OR($M40="",NOT($O40="{array}")),"",IFERROR(MATCH(PARAMETERS!$M40,DEFAULT!$B$5:$CI$5,0),""))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IF($AA40="","",IF($B40="I",VLOOKUP($AA40,#REF!,53,0),INDEX(VALUES!$B$1:$BF$1,1,$AA40)))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338</v>
      </c>
      <c r="N41" s="163" t="s">
        <v>300</v>
      </c>
      <c r="O41" s="159" t="s">
        <v>134</v>
      </c>
      <c r="P41" s="174" t="s">
        <v>264</v>
      </c>
      <c r="Q41" s="161" t="s">
        <v>9</v>
      </c>
      <c r="R41" s="162" t="s">
        <v>103</v>
      </c>
      <c r="S41" s="162" t="s">
        <v>112</v>
      </c>
      <c r="T41" s="163" t="s">
        <v>264</v>
      </c>
      <c r="U41" s="163" t="s">
        <v>114</v>
      </c>
      <c r="V41" s="163" t="s">
        <v>300</v>
      </c>
      <c r="W41" s="164" t="str">
        <f>IF(IFERROR(VLOOKUP($M41,#REF!,1,0),"-")="-","","GS")</f>
        <v/>
      </c>
      <c r="X41" s="165" t="s">
        <v>264</v>
      </c>
      <c r="Y41" s="163" t="s">
        <v>301</v>
      </c>
      <c r="Z41" s="59" t="str">
        <f>IF(OR($M41="",NOT($O41="{array}")),"",IFERROR(MATCH(PARAMETERS!$M41,DEFAULT!$B$5:$CI$5,0),""))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IF($AA41="","",IF($B41="I",VLOOKUP($AA41,#REF!,53,0),INDEX(VALUES!$B$1:$BF$1,1,$AA41)))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339</v>
      </c>
      <c r="N42" s="163" t="s">
        <v>340</v>
      </c>
      <c r="O42" s="159" t="s">
        <v>134</v>
      </c>
      <c r="P42" s="165" t="s">
        <v>264</v>
      </c>
      <c r="Q42" s="161" t="s">
        <v>9</v>
      </c>
      <c r="R42" s="162" t="s">
        <v>103</v>
      </c>
      <c r="S42" s="162" t="s">
        <v>112</v>
      </c>
      <c r="T42" s="163" t="s">
        <v>264</v>
      </c>
      <c r="U42" s="163" t="s">
        <v>264</v>
      </c>
      <c r="V42" s="163" t="s">
        <v>340</v>
      </c>
      <c r="W42" s="164" t="str">
        <f>IF(IFERROR(VLOOKUP($M42,#REF!,1,0),"-")="-","","GS")</f>
        <v/>
      </c>
      <c r="X42" s="165" t="s">
        <v>264</v>
      </c>
      <c r="Y42" s="163" t="s">
        <v>341</v>
      </c>
      <c r="Z42" s="59" t="str">
        <f>IF(OR($M42="",NOT($O42="{array}")),"",IFERROR(MATCH(PARAMETERS!$M42,DEFAULT!$B$5:$CI$5,0),""))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IF($AA42="","",IF($B42="I",VLOOKUP($AA42,#REF!,53,0),INDEX(VALUES!$B$1:$BF$1,1,$AA42)))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342</v>
      </c>
      <c r="N43" s="166" t="s">
        <v>343</v>
      </c>
      <c r="O43" s="159" t="s">
        <v>134</v>
      </c>
      <c r="P43" s="160" t="s">
        <v>264</v>
      </c>
      <c r="Q43" s="170" t="s">
        <v>9</v>
      </c>
      <c r="R43" s="171" t="s">
        <v>103</v>
      </c>
      <c r="S43" s="171" t="s">
        <v>112</v>
      </c>
      <c r="T43" s="166" t="s">
        <v>264</v>
      </c>
      <c r="U43" s="166" t="s">
        <v>264</v>
      </c>
      <c r="V43" s="166" t="s">
        <v>343</v>
      </c>
      <c r="W43" s="15" t="str">
        <f>IF(IFERROR(VLOOKUP($M43,#REF!,1,0),"-")="-","","GS")</f>
        <v/>
      </c>
      <c r="X43" s="160" t="s">
        <v>264</v>
      </c>
      <c r="Y43" s="166" t="s">
        <v>344</v>
      </c>
      <c r="Z43" s="59" t="str">
        <f>IF(OR($M43="",NOT($O43="{array}")),"",IFERROR(MATCH(PARAMETERS!$M43,DEFAULT!$B$5:$CI$5,0),""))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IF($AA43="","",IF($B43="I",VLOOKUP($AA43,#REF!,53,0),INDEX(VALUES!$B$1:$BF$1,1,$AA43)))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345</v>
      </c>
      <c r="N44" s="163" t="s">
        <v>346</v>
      </c>
      <c r="O44" s="159" t="s">
        <v>134</v>
      </c>
      <c r="P44" s="174" t="s">
        <v>264</v>
      </c>
      <c r="Q44" s="161" t="s">
        <v>9</v>
      </c>
      <c r="R44" s="162" t="s">
        <v>103</v>
      </c>
      <c r="S44" s="162" t="s">
        <v>112</v>
      </c>
      <c r="T44" s="163" t="s">
        <v>264</v>
      </c>
      <c r="U44" s="163" t="s">
        <v>114</v>
      </c>
      <c r="V44" s="163" t="s">
        <v>346</v>
      </c>
      <c r="W44" s="164" t="str">
        <f>IF(IFERROR(VLOOKUP($M44,#REF!,1,0),"-")="-","","GS")</f>
        <v/>
      </c>
      <c r="X44" s="165" t="s">
        <v>264</v>
      </c>
      <c r="Y44" s="163" t="s">
        <v>347</v>
      </c>
      <c r="Z44" s="59" t="str">
        <f>IF(OR($M44="",NOT($O44="{array}")),"",IFERROR(MATCH(PARAMETERS!$M44,DEFAULT!$B$5:$CI$5,0),""))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IF($AA44="","",IF($B44="I",VLOOKUP($AA44,#REF!,53,0),INDEX(VALUES!$B$1:$BF$1,1,$AA44)))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348</v>
      </c>
      <c r="N45" s="163" t="s">
        <v>349</v>
      </c>
      <c r="O45" s="159" t="s">
        <v>134</v>
      </c>
      <c r="P45" s="160" t="s">
        <v>264</v>
      </c>
      <c r="Q45" s="161" t="s">
        <v>9</v>
      </c>
      <c r="R45" s="162" t="s">
        <v>103</v>
      </c>
      <c r="S45" s="162" t="s">
        <v>112</v>
      </c>
      <c r="T45" s="163" t="s">
        <v>264</v>
      </c>
      <c r="U45" s="163" t="s">
        <v>114</v>
      </c>
      <c r="V45" s="163" t="s">
        <v>349</v>
      </c>
      <c r="W45" s="164" t="str">
        <f>IF(IFERROR(VLOOKUP($M45,#REF!,1,0),"-")="-","","GS")</f>
        <v/>
      </c>
      <c r="X45" s="165">
        <v>37</v>
      </c>
      <c r="Y45" s="163" t="s">
        <v>350</v>
      </c>
      <c r="Z45" s="59" t="str">
        <f>IF(OR($M45="",NOT($O45="{array}")),"",IFERROR(MATCH(PARAMETERS!$M45,DEFAULT!$B$5:$CI$5,0),""))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IF($AA45="","",IF($B45="I",VLOOKUP($AA45,#REF!,53,0),INDEX(VALUES!$B$1:$BF$1,1,$AA45)))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351</v>
      </c>
      <c r="N46" s="163" t="s">
        <v>352</v>
      </c>
      <c r="O46" s="159" t="s">
        <v>134</v>
      </c>
      <c r="P46" s="165" t="s">
        <v>264</v>
      </c>
      <c r="Q46" s="161" t="s">
        <v>9</v>
      </c>
      <c r="R46" s="162" t="s">
        <v>103</v>
      </c>
      <c r="S46" s="162" t="s">
        <v>112</v>
      </c>
      <c r="T46" s="163" t="s">
        <v>264</v>
      </c>
      <c r="U46" s="163" t="s">
        <v>264</v>
      </c>
      <c r="V46" s="163" t="s">
        <v>352</v>
      </c>
      <c r="W46" s="164" t="str">
        <f>IF(IFERROR(VLOOKUP($M46,#REF!,1,0),"-")="-","","GS")</f>
        <v/>
      </c>
      <c r="X46" s="165" t="s">
        <v>264</v>
      </c>
      <c r="Y46" s="163" t="s">
        <v>353</v>
      </c>
      <c r="Z46" s="59" t="str">
        <f>IF(OR($M46="",NOT($O46="{array}")),"",IFERROR(MATCH(PARAMETERS!$M46,DEFAULT!$B$5:$CI$5,0),""))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IF($AA46="","",IF($B46="I",VLOOKUP($AA46,#REF!,53,0),INDEX(VALUES!$B$1:$BF$1,1,$AA46)))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354</v>
      </c>
      <c r="N47" s="163" t="s">
        <v>355</v>
      </c>
      <c r="O47" s="159" t="s">
        <v>134</v>
      </c>
      <c r="P47" s="165" t="s">
        <v>264</v>
      </c>
      <c r="Q47" s="161" t="s">
        <v>9</v>
      </c>
      <c r="R47" s="162" t="s">
        <v>103</v>
      </c>
      <c r="S47" s="162" t="s">
        <v>112</v>
      </c>
      <c r="T47" s="163" t="s">
        <v>264</v>
      </c>
      <c r="U47" s="163" t="s">
        <v>264</v>
      </c>
      <c r="V47" s="163" t="s">
        <v>355</v>
      </c>
      <c r="W47" s="164" t="str">
        <f>IF(IFERROR(VLOOKUP($M47,#REF!,1,0),"-")="-","","GS")</f>
        <v/>
      </c>
      <c r="X47" s="165" t="s">
        <v>264</v>
      </c>
      <c r="Y47" s="163" t="s">
        <v>356</v>
      </c>
      <c r="Z47" s="59" t="str">
        <f>IF(OR($M47="",NOT($O47="{array}")),"",IFERROR(MATCH(PARAMETERS!$M47,DEFAULT!$B$5:$CI$5,0),""))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IF($AA47="","",IF($B47="I",VLOOKUP($AA47,#REF!,53,0),INDEX(VALUES!$B$1:$BF$1,1,$AA47)))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357</v>
      </c>
      <c r="N48" s="163" t="s">
        <v>358</v>
      </c>
      <c r="O48" s="159" t="s">
        <v>134</v>
      </c>
      <c r="P48" s="165" t="s">
        <v>264</v>
      </c>
      <c r="Q48" s="161" t="s">
        <v>9</v>
      </c>
      <c r="R48" s="162" t="s">
        <v>103</v>
      </c>
      <c r="S48" s="162" t="s">
        <v>112</v>
      </c>
      <c r="T48" s="163" t="s">
        <v>264</v>
      </c>
      <c r="U48" s="163" t="s">
        <v>264</v>
      </c>
      <c r="V48" s="163" t="s">
        <v>358</v>
      </c>
      <c r="W48" s="164" t="str">
        <f>IF(IFERROR(VLOOKUP($M48,#REF!,1,0),"-")="-","","GS")</f>
        <v/>
      </c>
      <c r="X48" s="165" t="s">
        <v>264</v>
      </c>
      <c r="Y48" s="163" t="s">
        <v>356</v>
      </c>
      <c r="Z48" s="59" t="str">
        <f>IF(OR($M48="",NOT($O48="{array}")),"",IFERROR(MATCH(PARAMETERS!$M48,DEFAULT!$B$5:$CI$5,0),""))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IF($AA48="","",IF($B48="I",VLOOKUP($AA48,#REF!,53,0),INDEX(VALUES!$B$1:$BF$1,1,$AA48)))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359</v>
      </c>
      <c r="N49" s="163" t="s">
        <v>360</v>
      </c>
      <c r="O49" s="159" t="s">
        <v>134</v>
      </c>
      <c r="P49" s="165" t="s">
        <v>264</v>
      </c>
      <c r="Q49" s="161" t="s">
        <v>9</v>
      </c>
      <c r="R49" s="162" t="s">
        <v>103</v>
      </c>
      <c r="S49" s="162" t="s">
        <v>112</v>
      </c>
      <c r="T49" s="163" t="s">
        <v>264</v>
      </c>
      <c r="U49" s="163" t="s">
        <v>264</v>
      </c>
      <c r="V49" s="163" t="s">
        <v>360</v>
      </c>
      <c r="W49" s="164" t="str">
        <f>IF(IFERROR(VLOOKUP($M49,#REF!,1,0),"-")="-","","GS")</f>
        <v/>
      </c>
      <c r="X49" s="165" t="s">
        <v>264</v>
      </c>
      <c r="Y49" s="163" t="s">
        <v>361</v>
      </c>
      <c r="Z49" s="59" t="str">
        <f>IF(OR($M49="",NOT($O49="{array}")),"",IFERROR(MATCH(PARAMETERS!$M49,DEFAULT!$B$5:$CI$5,0),""))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IF($AA49="","",IF($B49="I",VLOOKUP($AA49,#REF!,53,0),INDEX(VALUES!$B$1:$BF$1,1,$AA49)))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362</v>
      </c>
      <c r="N50" s="183" t="s">
        <v>363</v>
      </c>
      <c r="O50" s="166" t="s">
        <v>134</v>
      </c>
      <c r="P50" s="185" t="s">
        <v>264</v>
      </c>
      <c r="Q50" s="186" t="s">
        <v>9</v>
      </c>
      <c r="R50" s="187" t="s">
        <v>103</v>
      </c>
      <c r="S50" s="187" t="s">
        <v>112</v>
      </c>
      <c r="T50" s="183" t="s">
        <v>264</v>
      </c>
      <c r="U50" s="183" t="s">
        <v>264</v>
      </c>
      <c r="V50" s="183" t="s">
        <v>363</v>
      </c>
      <c r="W50" s="188" t="str">
        <f>IF(IFERROR(VLOOKUP($M50,#REF!,1,0),"-")="-","","GS")</f>
        <v/>
      </c>
      <c r="X50" s="185" t="s">
        <v>264</v>
      </c>
      <c r="Y50" s="183" t="s">
        <v>364</v>
      </c>
      <c r="Z50" s="59" t="str">
        <f>IF(OR($M50="",NOT($O50="{array}")),"",IFERROR(MATCH(PARAMETERS!$M50,DEFAULT!$B$5:$CI$5,0),""))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IF($AA50="","",IF($B50="I",VLOOKUP($AA50,#REF!,53,0),INDEX(VALUES!$B$1:$BF$1,1,$AA50)))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365</v>
      </c>
      <c r="N51" s="159" t="s">
        <v>366</v>
      </c>
      <c r="O51" s="159" t="s">
        <v>134</v>
      </c>
      <c r="P51" s="171" t="s">
        <v>264</v>
      </c>
      <c r="Q51" s="161"/>
      <c r="R51" s="162" t="s">
        <v>103</v>
      </c>
      <c r="S51" s="162" t="s">
        <v>112</v>
      </c>
      <c r="T51" s="163" t="s">
        <v>264</v>
      </c>
      <c r="U51" s="163" t="s">
        <v>114</v>
      </c>
      <c r="V51" s="163" t="s">
        <v>367</v>
      </c>
      <c r="W51" s="164" t="str">
        <f>IF(IFERROR(VLOOKUP($M51,#REF!,1,0),"-")="-","","GS")</f>
        <v/>
      </c>
      <c r="X51" s="165" t="s">
        <v>264</v>
      </c>
      <c r="Y51" s="163" t="s">
        <v>368</v>
      </c>
      <c r="Z51" s="59" t="str">
        <f>IF(OR($M51="",NOT($O51="{array}")),"",IFERROR(MATCH(PARAMETERS!$M51,DEFAULT!$B$5:$CI$5,0),""))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IF($AA51="","",IF($B51="I",VLOOKUP($AA51,#REF!,53,0),INDEX(VALUES!$B$1:$BF$1,1,$AA51)))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369</v>
      </c>
      <c r="N52" s="163" t="s">
        <v>370</v>
      </c>
      <c r="O52" s="159" t="s">
        <v>134</v>
      </c>
      <c r="P52" s="160" t="s">
        <v>264</v>
      </c>
      <c r="Q52" s="161" t="s">
        <v>9</v>
      </c>
      <c r="R52" s="162" t="s">
        <v>103</v>
      </c>
      <c r="S52" s="162" t="s">
        <v>112</v>
      </c>
      <c r="T52" s="163" t="s">
        <v>264</v>
      </c>
      <c r="U52" s="163" t="s">
        <v>114</v>
      </c>
      <c r="V52" s="163" t="s">
        <v>370</v>
      </c>
      <c r="W52" s="164" t="str">
        <f>IF(IFERROR(VLOOKUP($M52,#REF!,1,0),"-")="-","","GS")</f>
        <v/>
      </c>
      <c r="X52" s="165" t="s">
        <v>264</v>
      </c>
      <c r="Y52" s="163" t="s">
        <v>371</v>
      </c>
      <c r="Z52" s="59" t="str">
        <f>IF(OR($M52="",NOT($O52="{array}")),"",IFERROR(MATCH(PARAMETERS!$M52,DEFAULT!$B$5:$CI$5,0),""))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IF($AA52="","",IF($B52="I",VLOOKUP($AA52,#REF!,53,0),INDEX(VALUES!$B$1:$BF$1,1,$AA52)))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372</v>
      </c>
      <c r="N53" s="166" t="s">
        <v>373</v>
      </c>
      <c r="O53" s="159" t="s">
        <v>134</v>
      </c>
      <c r="P53" s="160" t="s">
        <v>264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264</v>
      </c>
      <c r="V53" s="166" t="s">
        <v>373</v>
      </c>
      <c r="W53" s="15" t="str">
        <f>IF(IFERROR(VLOOKUP($M53,#REF!,1,0),"-")="-","","GS")</f>
        <v/>
      </c>
      <c r="X53" s="160">
        <v>39</v>
      </c>
      <c r="Y53" s="166" t="s">
        <v>374</v>
      </c>
      <c r="Z53" s="59" t="str">
        <f>IF(OR($M53="",NOT($O53="{array}")),"",IFERROR(MATCH(PARAMETERS!$M53,DEFAULT!$B$5:$CI$5,0),""))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IF($AA53="","",IF($B53="I",VLOOKUP($AA53,#REF!,53,0),INDEX(VALUES!$B$1:$BF$1,1,$AA53)))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375</v>
      </c>
      <c r="N54" s="163" t="s">
        <v>376</v>
      </c>
      <c r="O54" s="159" t="s">
        <v>134</v>
      </c>
      <c r="P54" s="165" t="s">
        <v>264</v>
      </c>
      <c r="Q54" s="161" t="s">
        <v>9</v>
      </c>
      <c r="R54" s="162" t="s">
        <v>103</v>
      </c>
      <c r="S54" s="162" t="s">
        <v>112</v>
      </c>
      <c r="T54" s="163" t="s">
        <v>264</v>
      </c>
      <c r="U54" s="163" t="s">
        <v>264</v>
      </c>
      <c r="V54" s="163" t="s">
        <v>376</v>
      </c>
      <c r="W54" s="164" t="str">
        <f>IF(IFERROR(VLOOKUP($M54,#REF!,1,0),"-")="-","","GS")</f>
        <v/>
      </c>
      <c r="X54" s="165" t="s">
        <v>264</v>
      </c>
      <c r="Y54" s="163" t="s">
        <v>377</v>
      </c>
      <c r="Z54" s="59" t="str">
        <f>IF(OR($M54="",NOT($O54="{array}")),"",IFERROR(MATCH(PARAMETERS!$M54,DEFAULT!$B$5:$CI$5,0),""))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IF($AA54="","",IF($B54="I",VLOOKUP($AA54,#REF!,53,0),INDEX(VALUES!$B$1:$BF$1,1,$AA54)))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378</v>
      </c>
      <c r="N55" s="41" t="s">
        <v>379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IF(OR($M55="",NOT($O55="{array}")),"",IFERROR(MATCH(PARAMETERS!$M55,DEFAULT!$B$5:$CI$5,0),""))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IF($AA55="","",IF($B55="I",VLOOKUP($AA55,#REF!,53,0),INDEX(VALUES!$B$1:$BF$1,1,$AA55)))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380</v>
      </c>
      <c r="N56" s="189" t="s">
        <v>381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718</v>
      </c>
      <c r="Y56" s="189" t="s">
        <v>382</v>
      </c>
      <c r="Z56" s="59" t="str">
        <f>IF(OR($M56="",NOT($O56="{array}")),"",IFERROR(MATCH(PARAMETERS!$M56,DEFAULT!$B$5:$CI$5,0),""))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IF($AA56="","",IF($B56="I",VLOOKUP($AA56,#REF!,53,0),INDEX(VALUES!$B$1:$BF$1,1,$AA56)))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383</v>
      </c>
      <c r="N57" s="189" t="s">
        <v>384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718</v>
      </c>
      <c r="Y57" s="189" t="s">
        <v>382</v>
      </c>
      <c r="Z57" s="59" t="str">
        <f>IF(OR($M57="",NOT($O57="{array}")),"",IFERROR(MATCH(PARAMETERS!$M57,DEFAULT!$B$5:$CI$5,0),""))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IF($AA57="","",IF($B57="I",VLOOKUP($AA57,#REF!,53,0),INDEX(VALUES!$B$1:$BF$1,1,$AA57)))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385</v>
      </c>
      <c r="N58" s="189" t="s">
        <v>386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718</v>
      </c>
      <c r="Y58" s="189" t="s">
        <v>387</v>
      </c>
      <c r="Z58" s="59" t="str">
        <f>IF(OR($M58="",NOT($O58="{array}")),"",IFERROR(MATCH(PARAMETERS!$M58,DEFAULT!$B$5:$CI$5,0),""))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IF($AA58="","",IF($B58="I",VLOOKUP($AA58,#REF!,53,0),INDEX(VALUES!$B$1:$BF$1,1,$AA58)))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388</v>
      </c>
      <c r="N59" s="189" t="s">
        <v>389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718</v>
      </c>
      <c r="Y59" s="189" t="s">
        <v>387</v>
      </c>
      <c r="Z59" s="59" t="str">
        <f>IF(OR($M59="",NOT($O59="{array}")),"",IFERROR(MATCH(PARAMETERS!$M59,DEFAULT!$B$5:$CI$5,0),""))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IF($AA59="","",IF($B59="I",VLOOKUP($AA59,#REF!,53,0),INDEX(VALUES!$B$1:$BF$1,1,$AA59)))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390</v>
      </c>
      <c r="N60" s="189" t="s">
        <v>391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718</v>
      </c>
      <c r="Y60" s="189" t="s">
        <v>392</v>
      </c>
      <c r="Z60" s="59" t="str">
        <f>IF(OR($M60="",NOT($O60="{array}")),"",IFERROR(MATCH(PARAMETERS!$M60,DEFAULT!$B$5:$CI$5,0),""))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IF($AA60="","",IF($B60="I",VLOOKUP($AA60,#REF!,53,0),INDEX(VALUES!$B$1:$BF$1,1,$AA60)))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393</v>
      </c>
      <c r="N61" s="189" t="s">
        <v>394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718</v>
      </c>
      <c r="Y61" s="189" t="s">
        <v>395</v>
      </c>
      <c r="Z61" s="59" t="str">
        <f>IF(OR($M61="",NOT($O61="{array}")),"",IFERROR(MATCH(PARAMETERS!$M61,DEFAULT!$B$5:$CI$5,0),""))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IF($AA61="","",IF($B61="I",VLOOKUP($AA61,#REF!,53,0),INDEX(VALUES!$B$1:$BF$1,1,$AA61)))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396</v>
      </c>
      <c r="N62" s="189" t="s">
        <v>397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718</v>
      </c>
      <c r="Y62" s="189" t="s">
        <v>398</v>
      </c>
      <c r="Z62" s="59" t="str">
        <f>IF(OR($M62="",NOT($O62="{array}")),"",IFERROR(MATCH(PARAMETERS!$M62,DEFAULT!$B$5:$CI$5,0),""))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IF($AA62="","",IF($B62="I",VLOOKUP($AA62,#REF!,53,0),INDEX(VALUES!$B$1:$BF$1,1,$AA62)))</f>
        <v/>
      </c>
    </row>
    <row r="63" spans="1:29" collapsed="1" x14ac:dyDescent="0.3">
      <c r="A63" s="22" t="s">
        <v>399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IF(OR($M63="",NOT($O63="{array}")),"",IFERROR(MATCH(PARAMETERS!$M63,DEFAULT!$B$5:$CI$5,0),""))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IF($AA63="","",IF($B63="I",VLOOKUP($AA63,#REF!,53,0),INDEX(VALUES!$B$1:$BF$1,1,$AA63)))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400</v>
      </c>
      <c r="N64" s="41" t="s">
        <v>401</v>
      </c>
      <c r="R64" s="38" t="s">
        <v>195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IF(OR($M64="",NOT($O64="{array}")),"",IFERROR(MATCH(PARAMETERS!$M64,DEFAULT!$B$5:$CI$5,0),""))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IF($AA64="","",IF($B64="I",VLOOKUP($AA64,#REF!,53,0),INDEX(VALUES!$B$1:$BF$1,1,$AA64)))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402</v>
      </c>
      <c r="N65" s="159" t="s">
        <v>403</v>
      </c>
      <c r="O65" s="163" t="s">
        <v>404</v>
      </c>
      <c r="P65" s="165" t="s">
        <v>264</v>
      </c>
      <c r="Q65" s="162"/>
      <c r="R65" s="162" t="s">
        <v>103</v>
      </c>
      <c r="S65" s="162" t="s">
        <v>112</v>
      </c>
      <c r="T65" s="161" t="s">
        <v>102</v>
      </c>
      <c r="U65" s="163" t="s">
        <v>264</v>
      </c>
      <c r="V65" s="163" t="s">
        <v>405</v>
      </c>
      <c r="W65" s="164" t="str">
        <f>IF(IFERROR(VLOOKUP($M65,#REF!,1,0),"-")="-","","GS")</f>
        <v/>
      </c>
      <c r="X65" s="165">
        <v>26</v>
      </c>
      <c r="Y65" s="163" t="s">
        <v>406</v>
      </c>
      <c r="Z65" s="59" t="str">
        <f>IF(OR($M65="",NOT($O65="{array}")),"",IFERROR(MATCH(PARAMETERS!$M65,DEFAULT!$B$5:$CI$5,0),""))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IF($AA65="","",IF($B65="I",VLOOKUP($AA65,#REF!,53,0),INDEX(VALUES!$B$1:$BF$1,1,$AA65)))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407</v>
      </c>
      <c r="N66" s="163" t="s">
        <v>408</v>
      </c>
      <c r="O66" s="163" t="s">
        <v>215</v>
      </c>
      <c r="P66" s="160" t="s">
        <v>264</v>
      </c>
      <c r="Q66" s="171"/>
      <c r="R66" s="162" t="s">
        <v>103</v>
      </c>
      <c r="S66" s="162" t="s">
        <v>112</v>
      </c>
      <c r="T66" s="161" t="s">
        <v>264</v>
      </c>
      <c r="U66" s="163" t="s">
        <v>264</v>
      </c>
      <c r="V66" s="163" t="s">
        <v>409</v>
      </c>
      <c r="W66" s="164" t="str">
        <f>IF(IFERROR(VLOOKUP($M66,#REF!,1,0),"-")="-","","GS")</f>
        <v/>
      </c>
      <c r="X66" s="165">
        <v>8</v>
      </c>
      <c r="Y66" s="163" t="s">
        <v>410</v>
      </c>
      <c r="Z66" s="59" t="str">
        <f>IF(OR($M66="",NOT($O66="{array}")),"",IFERROR(MATCH(PARAMETERS!$M66,DEFAULT!$B$5:$CI$5,0),""))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IF($AA66="","",IF($B66="I",VLOOKUP($AA66,#REF!,53,0),INDEX(VALUES!$B$1:$BF$1,1,$AA66)))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411</v>
      </c>
      <c r="N67" s="191" t="s">
        <v>412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X67" s="194"/>
      <c r="Y67" s="191"/>
      <c r="Z67" s="59" t="str">
        <f>IF(OR($M67="",NOT($O67="{array}")),"",IFERROR(MATCH(PARAMETERS!$M67,DEFAULT!$B$5:$CI$5,0),""))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IF($AA67="","",IF($B67="I",VLOOKUP($AA67,#REF!,53,0),INDEX(VALUES!$B$1:$BF$1,1,$AA67)))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413</v>
      </c>
      <c r="N68" s="14" t="s">
        <v>414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IF(OR($M68="",NOT($O68="{array}")),"",IFERROR(MATCH(PARAMETERS!$M68,DEFAULT!$B$5:$CI$5,0),""))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IF($AA68="","",IF($B68="I",VLOOKUP($AA68,#REF!,53,0),INDEX(VALUES!$B$1:$BF$1,1,$AA68)))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415</v>
      </c>
      <c r="N69" s="159" t="s">
        <v>416</v>
      </c>
      <c r="O69" s="166">
        <v>1</v>
      </c>
      <c r="P69" s="160" t="s">
        <v>264</v>
      </c>
      <c r="Q69" s="195"/>
      <c r="R69" s="171" t="s">
        <v>103</v>
      </c>
      <c r="S69" s="171" t="s">
        <v>112</v>
      </c>
      <c r="T69" s="170" t="s">
        <v>264</v>
      </c>
      <c r="U69" s="166" t="s">
        <v>264</v>
      </c>
      <c r="V69" s="166" t="s">
        <v>417</v>
      </c>
      <c r="W69" s="15" t="str">
        <f>IF(IFERROR(VLOOKUP($M69,#REF!,1,0),"-")="-","","GS")</f>
        <v/>
      </c>
      <c r="X69" s="160">
        <v>27</v>
      </c>
      <c r="Y69" s="166" t="s">
        <v>418</v>
      </c>
      <c r="Z69" s="59" t="str">
        <f>IF(OR($M69="",NOT($O69="{array}")),"",IFERROR(MATCH(PARAMETERS!$M69,DEFAULT!$B$5:$CI$5,0),""))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IF($AA69="","",IF($B69="I",VLOOKUP($AA69,#REF!,53,0),INDEX(VALUES!$B$1:$BF$1,1,$AA69)))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419</v>
      </c>
      <c r="N70" s="183" t="s">
        <v>264</v>
      </c>
      <c r="O70" s="183" t="s">
        <v>264</v>
      </c>
      <c r="P70" s="185" t="s">
        <v>264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264</v>
      </c>
      <c r="V70" s="183" t="s">
        <v>419</v>
      </c>
      <c r="W70" s="188" t="str">
        <f>IF(IFERROR(VLOOKUP($M70,#REF!,1,0),"-")="-","","GS")</f>
        <v/>
      </c>
      <c r="X70" s="185" t="s">
        <v>264</v>
      </c>
      <c r="Y70" s="183" t="s">
        <v>420</v>
      </c>
      <c r="Z70" s="59" t="str">
        <f>IF(OR($M70="",NOT($O70="{array}")),"",IFERROR(MATCH(PARAMETERS!$M70,DEFAULT!$B$5:$CI$5,0),""))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IF($AA70="","",IF($B70="I",VLOOKUP($AA70,#REF!,53,0),INDEX(VALUES!$B$1:$BF$1,1,$AA70)))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421</v>
      </c>
      <c r="N71" s="183" t="s">
        <v>264</v>
      </c>
      <c r="O71" s="183" t="s">
        <v>264</v>
      </c>
      <c r="P71" s="185" t="s">
        <v>264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264</v>
      </c>
      <c r="V71" s="183" t="s">
        <v>421</v>
      </c>
      <c r="W71" s="188" t="str">
        <f>IF(IFERROR(VLOOKUP($M71,#REF!,1,0),"-")="-","","GS")</f>
        <v/>
      </c>
      <c r="X71" s="185" t="s">
        <v>264</v>
      </c>
      <c r="Y71" s="183" t="s">
        <v>422</v>
      </c>
      <c r="Z71" s="59" t="str">
        <f>IF(OR($M71="",NOT($O71="{array}")),"",IFERROR(MATCH(PARAMETERS!$M71,DEFAULT!$B$5:$CI$5,0),""))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IF($AA71="","",IF($B71="I",VLOOKUP($AA71,#REF!,53,0),INDEX(VALUES!$B$1:$BF$1,1,$AA71)))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423</v>
      </c>
      <c r="N72" s="14" t="s">
        <v>424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425</v>
      </c>
      <c r="Z72" s="59" t="str">
        <f>IF(OR($M72="",NOT($O72="{array}")),"",IFERROR(MATCH(PARAMETERS!$M72,DEFAULT!$B$5:$CI$5,0),""))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IF($AA72="","",IF($B72="I",VLOOKUP($AA72,#REF!,53,0),INDEX(VALUES!$B$1:$BF$1,1,$AA72)))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426</v>
      </c>
      <c r="N73" s="196" t="s">
        <v>264</v>
      </c>
      <c r="O73" s="196" t="s">
        <v>264</v>
      </c>
      <c r="P73" s="198" t="s">
        <v>264</v>
      </c>
      <c r="Q73" s="199" t="s">
        <v>9</v>
      </c>
      <c r="R73" s="199" t="s">
        <v>103</v>
      </c>
      <c r="S73" s="199" t="s">
        <v>112</v>
      </c>
      <c r="T73" s="200" t="s">
        <v>264</v>
      </c>
      <c r="U73" s="196" t="s">
        <v>264</v>
      </c>
      <c r="V73" s="196" t="s">
        <v>426</v>
      </c>
      <c r="W73" s="201" t="str">
        <f>IF(IFERROR(VLOOKUP($M73,#REF!,1,0),"-")="-","","GS")</f>
        <v/>
      </c>
      <c r="X73" s="185" t="s">
        <v>264</v>
      </c>
      <c r="Y73" s="183" t="s">
        <v>427</v>
      </c>
      <c r="Z73" s="59" t="str">
        <f>IF(OR($M73="",NOT($O73="{array}")),"",IFERROR(MATCH(PARAMETERS!$M73,DEFAULT!$B$5:$CI$5,0),""))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IF($AA73="","",IF($B73="I",VLOOKUP($AA73,#REF!,53,0),INDEX(VALUES!$B$1:$BF$1,1,$AA73)))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428</v>
      </c>
      <c r="N74" s="14" t="s">
        <v>429</v>
      </c>
      <c r="O74" s="43" t="s">
        <v>430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IF(OR($M74="",NOT($O74="{array}")),"",IFERROR(MATCH(PARAMETERS!$M74,DEFAULT!$B$5:$CI$5,0),""))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IF($AA74="","",IF($B74="I",VLOOKUP($AA74,#REF!,53,0),INDEX(VALUES!$B$1:$BF$1,1,$AA74)))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1" t="s">
        <v>47</v>
      </c>
      <c r="L75" s="191" t="s">
        <v>27</v>
      </c>
      <c r="M75" s="192" t="s">
        <v>431</v>
      </c>
      <c r="N75" s="191" t="s">
        <v>432</v>
      </c>
      <c r="O75" s="193">
        <v>0</v>
      </c>
      <c r="P75" s="191"/>
      <c r="Q75" s="180"/>
      <c r="R75" s="180" t="s">
        <v>104</v>
      </c>
      <c r="S75" s="180"/>
      <c r="T75" s="180"/>
      <c r="U75" s="191"/>
      <c r="V75" s="191"/>
      <c r="W75" s="194" t="str">
        <f>IF(IFERROR(VLOOKUP($M75,#REF!,1,0),"-")="-","","GS")</f>
        <v/>
      </c>
      <c r="X75" s="194"/>
      <c r="Y75" s="191" t="s">
        <v>433</v>
      </c>
      <c r="Z75" s="59" t="str">
        <f>IF(OR($M75="",NOT($O75="{array}")),"",IFERROR(MATCH(PARAMETERS!$M75,DEFAULT!$B$5:$CI$5,0),""))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IF($AA75="","",IF($B75="I",VLOOKUP($AA75,#REF!,53,0),INDEX(VALUES!$B$1:$BF$1,1,$AA75)))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1" t="s">
        <v>47</v>
      </c>
      <c r="L76" s="191" t="s">
        <v>27</v>
      </c>
      <c r="M76" s="192" t="s">
        <v>434</v>
      </c>
      <c r="N76" s="191" t="s">
        <v>435</v>
      </c>
      <c r="O76" s="193">
        <v>0</v>
      </c>
      <c r="P76" s="191"/>
      <c r="Q76" s="180"/>
      <c r="R76" s="180" t="s">
        <v>104</v>
      </c>
      <c r="S76" s="180"/>
      <c r="T76" s="180"/>
      <c r="U76" s="191"/>
      <c r="V76" s="191"/>
      <c r="W76" s="194" t="str">
        <f>IF(IFERROR(VLOOKUP($M76,#REF!,1,0),"-")="-","","GS")</f>
        <v/>
      </c>
      <c r="X76" s="194"/>
      <c r="Y76" s="191" t="s">
        <v>436</v>
      </c>
      <c r="Z76" s="59" t="str">
        <f>IF(OR($M76="",NOT($O76="{array}")),"",IFERROR(MATCH(PARAMETERS!$M76,DEFAULT!$B$5:$CI$5,0),""))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IF($AA76="","",IF($B76="I",VLOOKUP($AA76,#REF!,53,0),INDEX(VALUES!$B$1:$BF$1,1,$AA76)))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437</v>
      </c>
      <c r="N77" s="183" t="s">
        <v>264</v>
      </c>
      <c r="O77" s="183" t="s">
        <v>264</v>
      </c>
      <c r="P77" s="185" t="s">
        <v>264</v>
      </c>
      <c r="Q77" s="187" t="s">
        <v>9</v>
      </c>
      <c r="R77" s="187" t="s">
        <v>103</v>
      </c>
      <c r="S77" s="187" t="s">
        <v>112</v>
      </c>
      <c r="T77" s="186" t="s">
        <v>264</v>
      </c>
      <c r="U77" s="183" t="s">
        <v>264</v>
      </c>
      <c r="V77" s="183" t="s">
        <v>437</v>
      </c>
      <c r="W77" s="188" t="str">
        <f>IF(IFERROR(VLOOKUP($M77,#REF!,1,0),"-")="-","","GS")</f>
        <v/>
      </c>
      <c r="X77" s="185" t="s">
        <v>264</v>
      </c>
      <c r="Y77" s="183" t="s">
        <v>438</v>
      </c>
      <c r="Z77" s="59" t="str">
        <f>IF(OR($M77="",NOT($O77="{array}")),"",IFERROR(MATCH(PARAMETERS!$M77,DEFAULT!$B$5:$CI$5,0),""))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IF($AA77="","",IF($B77="I",VLOOKUP($AA77,#REF!,53,0),INDEX(VALUES!$B$1:$BF$1,1,$AA77)))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439</v>
      </c>
      <c r="N78" s="183" t="s">
        <v>264</v>
      </c>
      <c r="O78" s="183" t="s">
        <v>264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264</v>
      </c>
      <c r="U78" s="183" t="s">
        <v>264</v>
      </c>
      <c r="V78" s="183" t="s">
        <v>439</v>
      </c>
      <c r="W78" s="188" t="str">
        <f>IF(IFERROR(VLOOKUP($M78,#REF!,1,0),"-")="-","","GS")</f>
        <v/>
      </c>
      <c r="X78" s="185" t="s">
        <v>264</v>
      </c>
      <c r="Y78" s="183" t="s">
        <v>440</v>
      </c>
      <c r="Z78" s="59" t="str">
        <f>IF(OR($M78="",NOT($O78="{array}")),"",IFERROR(MATCH(PARAMETERS!$M78,DEFAULT!$B$5:$CI$5,0),""))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IF($AA78="","",IF($B78="I",VLOOKUP($AA78,#REF!,53,0),INDEX(VALUES!$B$1:$BF$1,1,$AA78)))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441</v>
      </c>
      <c r="N79" s="183" t="s">
        <v>264</v>
      </c>
      <c r="O79" s="183" t="s">
        <v>264</v>
      </c>
      <c r="P79" s="185" t="s">
        <v>264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264</v>
      </c>
      <c r="V79" s="183" t="s">
        <v>441</v>
      </c>
      <c r="W79" s="188" t="str">
        <f>IF(IFERROR(VLOOKUP($M79,#REF!,1,0),"-")="-","","GS")</f>
        <v/>
      </c>
      <c r="X79" s="185">
        <v>28</v>
      </c>
      <c r="Y79" s="183" t="s">
        <v>442</v>
      </c>
      <c r="Z79" s="59" t="str">
        <f>IF(OR($M79="",NOT($O79="{array}")),"",IFERROR(MATCH(PARAMETERS!$M79,DEFAULT!$B$5:$CI$5,0),""))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IF($AA79="","",IF($B79="I",VLOOKUP($AA79,#REF!,53,0),INDEX(VALUES!$B$1:$BF$1,1,$AA79)))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443</v>
      </c>
      <c r="N80" s="14" t="s">
        <v>444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IF(OR($M80="",NOT($O80="{array}")),"",IFERROR(MATCH(PARAMETERS!$M80,DEFAULT!$B$5:$CI$5,0),""))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IF($AA80="","",IF($B80="I",VLOOKUP($AA80,#REF!,53,0),INDEX(VALUES!$B$1:$BF$1,1,$AA80)))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1" t="s">
        <v>445</v>
      </c>
      <c r="N81" s="14" t="s">
        <v>446</v>
      </c>
      <c r="O81" s="43" t="s">
        <v>447</v>
      </c>
      <c r="P81" s="160" t="s">
        <v>264</v>
      </c>
      <c r="Q81" s="171"/>
      <c r="R81" s="171" t="s">
        <v>103</v>
      </c>
      <c r="S81" s="171" t="s">
        <v>112</v>
      </c>
      <c r="T81" s="170" t="s">
        <v>264</v>
      </c>
      <c r="U81" s="166" t="s">
        <v>264</v>
      </c>
      <c r="V81" s="166" t="s">
        <v>448</v>
      </c>
      <c r="W81" s="15" t="str">
        <f>IF(IFERROR(VLOOKUP($M81,#REF!,1,0),"-")="-","","GS")</f>
        <v/>
      </c>
      <c r="X81" s="160" t="s">
        <v>264</v>
      </c>
      <c r="Y81" s="166" t="s">
        <v>449</v>
      </c>
      <c r="Z81" s="59" t="str">
        <f>IF(OR($M81="",NOT($O81="{array}")),"",IFERROR(MATCH(PARAMETERS!$M81,DEFAULT!$B$5:$CI$5,0),""))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IF($AA81="","",IF($B81="I",VLOOKUP($AA81,#REF!,53,0),INDEX(VALUES!$B$1:$BF$1,1,$AA81)))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6" t="s">
        <v>44</v>
      </c>
      <c r="L82" s="167" t="s">
        <v>21</v>
      </c>
      <c r="M82" s="203" t="s">
        <v>450</v>
      </c>
      <c r="N82" s="166" t="s">
        <v>451</v>
      </c>
      <c r="O82" s="166">
        <v>0</v>
      </c>
      <c r="P82" s="160" t="s">
        <v>264</v>
      </c>
      <c r="Q82" s="171"/>
      <c r="R82" s="171" t="s">
        <v>103</v>
      </c>
      <c r="S82" s="171" t="s">
        <v>112</v>
      </c>
      <c r="T82" s="170" t="s">
        <v>264</v>
      </c>
      <c r="U82" s="166" t="s">
        <v>264</v>
      </c>
      <c r="V82" s="166" t="s">
        <v>452</v>
      </c>
      <c r="W82" s="15" t="str">
        <f>IF(IFERROR(VLOOKUP($M82,#REF!,1,0),"-")="-","","GS")</f>
        <v/>
      </c>
      <c r="X82" s="160" t="s">
        <v>264</v>
      </c>
      <c r="Y82" s="166" t="s">
        <v>453</v>
      </c>
      <c r="Z82" s="59" t="str">
        <f>IF(OR($M82="",NOT($O82="{array}")),"",IFERROR(MATCH(PARAMETERS!$M82,DEFAULT!$B$5:$CI$5,0),""))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IF($AA82="","",IF($B82="I",VLOOKUP($AA82,#REF!,53,0),INDEX(VALUES!$B$1:$BF$1,1,$AA82)))</f>
        <v/>
      </c>
    </row>
    <row r="83" spans="1:29" hidden="1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454</v>
      </c>
      <c r="N83" s="14" t="s">
        <v>455</v>
      </c>
      <c r="O83" s="43">
        <v>0</v>
      </c>
      <c r="R83" s="38" t="s">
        <v>104</v>
      </c>
      <c r="S83" s="38"/>
      <c r="T83" s="38"/>
      <c r="W83" s="15" t="str">
        <f>IF(IFERROR(VLOOKUP($M83,#REF!,1,0),"-")="-","","GS")</f>
        <v/>
      </c>
      <c r="Z83" s="59" t="str">
        <f>IF(OR($M83="",NOT($O83="{array}")),"",IFERROR(MATCH(PARAMETERS!$M83,DEFAULT!$B$5:$CI$5,0),""))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IF($AA83="","",IF($B83="I",VLOOKUP($AA83,#REF!,53,0),INDEX(VALUES!$B$1:$BF$1,1,$AA83)))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456</v>
      </c>
      <c r="N84" s="14" t="s">
        <v>457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IF(OR($M84="",NOT($O84="{array}")),"",IFERROR(MATCH(PARAMETERS!$M84,DEFAULT!$B$5:$CI$5,0),""))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IF($AA84="","",IF($B84="I",VLOOKUP($AA84,#REF!,53,0),INDEX(VALUES!$B$1:$BF$1,1,$AA84)))</f>
        <v/>
      </c>
    </row>
    <row r="85" spans="1:29" collapsed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459</v>
      </c>
      <c r="N85" s="41" t="s">
        <v>460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IF(OR($M85="",NOT($O85="{array}")),"",IFERROR(MATCH(PARAMETERS!$M85,DEFAULT!$B$5:$CI$5,0),""))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IF($AA85="","",IF($B85="I",VLOOKUP($AA85,#REF!,53,0),INDEX(VALUES!$B$1:$BF$1,1,$AA85)))</f>
        <v/>
      </c>
    </row>
    <row r="86" spans="1:29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1" t="s">
        <v>461</v>
      </c>
      <c r="N86" s="14" t="s">
        <v>462</v>
      </c>
      <c r="O86" s="43">
        <v>0.04</v>
      </c>
      <c r="R86" s="38" t="s">
        <v>104</v>
      </c>
      <c r="S86" s="38"/>
      <c r="T86" s="38"/>
      <c r="W86" s="15" t="str">
        <f>IF(IFERROR(VLOOKUP($M86,#REF!,1,0),"-")="-","","GS")</f>
        <v/>
      </c>
      <c r="Y86" s="14" t="s">
        <v>463</v>
      </c>
      <c r="Z86" s="59" t="str">
        <f>IF(OR($M86="",NOT($O86="{array}")),"",IFERROR(MATCH(PARAMETERS!$M86,DEFAULT!$B$5:$CI$5,0),""))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IF($AA86="","",IF($B86="I",VLOOKUP($AA86,#REF!,53,0),INDEX(VALUES!$B$1:$BF$1,1,$AA86)))</f>
        <v/>
      </c>
    </row>
    <row r="87" spans="1:29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464</v>
      </c>
      <c r="N87" s="14" t="s">
        <v>465</v>
      </c>
      <c r="O87" s="43">
        <v>0.05</v>
      </c>
      <c r="R87" s="38" t="s">
        <v>104</v>
      </c>
      <c r="S87" s="38"/>
      <c r="T87" s="38"/>
      <c r="W87" s="15" t="str">
        <f>IF(IFERROR(VLOOKUP($M87,#REF!,1,0),"-")="-","","GS")</f>
        <v/>
      </c>
      <c r="Y87" s="14" t="s">
        <v>466</v>
      </c>
      <c r="Z87" s="59" t="str">
        <f>IF(OR($M87="",NOT($O87="{array}")),"",IFERROR(MATCH(PARAMETERS!$M87,DEFAULT!$B$5:$CI$5,0),""))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IF($AA87="","",IF($B87="I",VLOOKUP($AA87,#REF!,53,0),INDEX(VALUES!$B$1:$BF$1,1,$AA87)))</f>
        <v/>
      </c>
    </row>
    <row r="88" spans="1:29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467</v>
      </c>
      <c r="N88" s="14" t="s">
        <v>468</v>
      </c>
      <c r="O88" s="43">
        <v>0</v>
      </c>
      <c r="R88" s="38" t="s">
        <v>104</v>
      </c>
      <c r="S88" s="38"/>
      <c r="T88" s="38"/>
      <c r="W88" s="15" t="str">
        <f>IF(IFERROR(VLOOKUP($M88,#REF!,1,0),"-")="-","","GS")</f>
        <v/>
      </c>
      <c r="Y88" s="14" t="s">
        <v>469</v>
      </c>
      <c r="Z88" s="59" t="str">
        <f>IF(OR($M88="",NOT($O88="{array}")),"",IFERROR(MATCH(PARAMETERS!$M88,DEFAULT!$B$5:$CI$5,0),""))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IF($AA88="","",IF($B88="I",VLOOKUP($AA88,#REF!,53,0),INDEX(VALUES!$B$1:$BF$1,1,$AA88)))</f>
        <v/>
      </c>
    </row>
    <row r="89" spans="1:29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470</v>
      </c>
      <c r="N89" s="14" t="s">
        <v>471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Y89" s="14" t="s">
        <v>472</v>
      </c>
      <c r="Z89" s="59" t="str">
        <f>IF(OR($M89="",NOT($O89="{array}")),"",IFERROR(MATCH(PARAMETERS!$M89,DEFAULT!$B$5:$CI$5,0),""))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IF($AA89="","",IF($B89="I",VLOOKUP($AA89,#REF!,53,0),INDEX(VALUES!$B$1:$BF$1,1,$AA89)))</f>
        <v/>
      </c>
    </row>
    <row r="90" spans="1:29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6" t="s">
        <v>24</v>
      </c>
      <c r="L90" s="191" t="s">
        <v>27</v>
      </c>
      <c r="M90" s="196" t="s">
        <v>473</v>
      </c>
      <c r="N90" s="196" t="s">
        <v>264</v>
      </c>
      <c r="O90" s="196" t="s">
        <v>264</v>
      </c>
      <c r="P90" s="198" t="s">
        <v>124</v>
      </c>
      <c r="Q90" s="200" t="s">
        <v>9</v>
      </c>
      <c r="R90" s="199" t="s">
        <v>103</v>
      </c>
      <c r="S90" s="199" t="s">
        <v>112</v>
      </c>
      <c r="T90" s="196" t="s">
        <v>264</v>
      </c>
      <c r="U90" s="196" t="s">
        <v>264</v>
      </c>
      <c r="V90" s="196" t="s">
        <v>473</v>
      </c>
      <c r="W90" s="194" t="str">
        <f>IF(IFERROR(VLOOKUP($M90,#REF!,1,0),"-")="-","","GS")</f>
        <v/>
      </c>
      <c r="X90" s="198" t="s">
        <v>264</v>
      </c>
      <c r="Y90" s="196" t="s">
        <v>474</v>
      </c>
      <c r="Z90" s="59" t="str">
        <f>IF(OR($M90="",NOT($O90="{array}")),"",IFERROR(MATCH(PARAMETERS!$M90,DEFAULT!$B$5:$CI$5,0),""))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IF($AA90="","",IF($B90="I",VLOOKUP($AA90,#REF!,53,0),INDEX(VALUES!$B$1:$BF$1,1,$AA90)))</f>
        <v/>
      </c>
    </row>
    <row r="91" spans="1:29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475</v>
      </c>
      <c r="N91" s="14" t="s">
        <v>476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IF(IFERROR(VLOOKUP($M91,#REF!,1,0),"-")="-","","GS")</f>
        <v/>
      </c>
      <c r="Z91" s="59" t="str">
        <f>IF(OR($M91="",NOT($O91="{array}")),"",IFERROR(MATCH(PARAMETERS!$M91,DEFAULT!$B$5:$CI$5,0),""))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IF($AA91="","",IF($B91="I",VLOOKUP($AA91,#REF!,53,0),INDEX(VALUES!$B$1:$BF$1,1,$AA91)))</f>
        <v/>
      </c>
    </row>
    <row r="92" spans="1:29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477</v>
      </c>
      <c r="N92" s="14" t="s">
        <v>478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IF(OR($M92="",NOT($O92="{array}")),"",IFERROR(MATCH(PARAMETERS!$M92,DEFAULT!$B$5:$CI$5,0),""))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IF($AA92="","",IF($B92="I",VLOOKUP($AA92,#REF!,53,0),INDEX(VALUES!$B$1:$BF$1,1,$AA92)))</f>
        <v/>
      </c>
    </row>
    <row r="93" spans="1:29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479</v>
      </c>
      <c r="N93" s="14" t="s">
        <v>480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IF(OR($M93="",NOT($O93="{array}")),"",IFERROR(MATCH(PARAMETERS!$M93,DEFAULT!$B$5:$CI$5,0),""))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IF($AA93="","",IF($B93="I",VLOOKUP($AA93,#REF!,53,0),INDEX(VALUES!$B$1:$BF$1,1,$AA93)))</f>
        <v/>
      </c>
    </row>
    <row r="94" spans="1:29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481</v>
      </c>
      <c r="N94" s="14" t="s">
        <v>482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IF(OR($M94="",NOT($O94="{array}")),"",IFERROR(MATCH(PARAMETERS!$M94,DEFAULT!$B$5:$CI$5,0),""))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IF($AA94="","",IF($B94="I",VLOOKUP($AA94,#REF!,53,0),INDEX(VALUES!$B$1:$BF$1,1,$AA94)))</f>
        <v/>
      </c>
    </row>
    <row r="95" spans="1:29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483</v>
      </c>
      <c r="N95" s="14" t="s">
        <v>484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IF(OR($M95="",NOT($O95="{array}")),"",IFERROR(MATCH(PARAMETERS!$M95,DEFAULT!$B$5:$CI$5,0),""))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IF($AA95="","",IF($B95="I",VLOOKUP($AA95,#REF!,53,0),INDEX(VALUES!$B$1:$BF$1,1,$AA95)))</f>
        <v/>
      </c>
    </row>
    <row r="96" spans="1:29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485</v>
      </c>
      <c r="N96" s="14" t="s">
        <v>486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IF(OR($M96="",NOT($O96="{array}")),"",IFERROR(MATCH(PARAMETERS!$M96,DEFAULT!$B$5:$CI$5,0),""))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IF($AA96="","",IF($B96="I",VLOOKUP($AA96,#REF!,53,0),INDEX(VALUES!$B$1:$BF$1,1,$AA96)))</f>
        <v/>
      </c>
    </row>
    <row r="97" spans="1:29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487</v>
      </c>
      <c r="N97" s="14" t="s">
        <v>488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IF(OR($M97="",NOT($O97="{array}")),"",IFERROR(MATCH(PARAMETERS!$M97,DEFAULT!$B$5:$CI$5,0),""))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IF($AA97="","",IF($B97="I",VLOOKUP($AA97,#REF!,53,0),INDEX(VALUES!$B$1:$BF$1,1,$AA97)))</f>
        <v/>
      </c>
    </row>
    <row r="98" spans="1:29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489</v>
      </c>
      <c r="N98" s="14" t="s">
        <v>490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IF(OR($M98="",NOT($O98="{array}")),"",IFERROR(MATCH(PARAMETERS!$M98,DEFAULT!$B$5:$CI$5,0),""))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IF($AA98="","",IF($B98="I",VLOOKUP($AA98,#REF!,53,0),INDEX(VALUES!$B$1:$BF$1,1,$AA98)))</f>
        <v/>
      </c>
    </row>
    <row r="99" spans="1:29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1" t="s">
        <v>491</v>
      </c>
      <c r="N99" s="14" t="s">
        <v>492</v>
      </c>
      <c r="O99" s="43">
        <v>2.62</v>
      </c>
      <c r="P99" s="160" t="s">
        <v>127</v>
      </c>
      <c r="Q99" s="38" t="s">
        <v>9</v>
      </c>
      <c r="R99" s="38" t="s">
        <v>104</v>
      </c>
      <c r="S99" s="171" t="s">
        <v>112</v>
      </c>
      <c r="T99" s="170" t="s">
        <v>264</v>
      </c>
      <c r="U99" s="166" t="s">
        <v>264</v>
      </c>
      <c r="V99" s="166" t="s">
        <v>493</v>
      </c>
      <c r="W99" s="15" t="str">
        <f>IF(IFERROR(VLOOKUP($M99,#REF!,1,0),"-")="-","","GS")</f>
        <v/>
      </c>
      <c r="X99" s="160">
        <v>21</v>
      </c>
      <c r="Y99" s="166" t="s">
        <v>494</v>
      </c>
      <c r="Z99" s="59" t="str">
        <f>IF(OR($M99="",NOT($O99="{array}")),"",IFERROR(MATCH(PARAMETERS!$M99,DEFAULT!$B$5:$CI$5,0),""))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IF($AA99="","",IF($B99="I",VLOOKUP($AA99,#REF!,53,0),INDEX(VALUES!$B$1:$BF$1,1,$AA99)))</f>
        <v/>
      </c>
    </row>
    <row r="100" spans="1:29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495</v>
      </c>
      <c r="N100" s="14" t="s">
        <v>496</v>
      </c>
      <c r="O100" s="43">
        <v>2.5649999999999999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264</v>
      </c>
      <c r="U100" s="166" t="s">
        <v>264</v>
      </c>
      <c r="V100" s="166" t="s">
        <v>497</v>
      </c>
      <c r="W100" s="15" t="str">
        <f>IF(IFERROR(VLOOKUP($M100,#REF!,1,0),"-")="-","","GS")</f>
        <v/>
      </c>
      <c r="X100" s="160">
        <v>22</v>
      </c>
      <c r="Y100" s="166" t="s">
        <v>498</v>
      </c>
      <c r="Z100" s="59" t="str">
        <f>IF(OR($M100="",NOT($O100="{array}")),"",IFERROR(MATCH(PARAMETERS!$M100,DEFAULT!$B$5:$CI$5,0),""))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IF($AA100="","",IF($B100="I",VLOOKUP($AA100,#REF!,53,0),INDEX(VALUES!$B$1:$BF$1,1,$AA100)))</f>
        <v/>
      </c>
    </row>
    <row r="101" spans="1:29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499</v>
      </c>
      <c r="N101" s="14" t="s">
        <v>496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IF(IFERROR(VLOOKUP($M101,#REF!,1,0),"-")="-","","GS")</f>
        <v/>
      </c>
      <c r="Z101" s="59" t="str">
        <f>IF(OR($M101="",NOT($O101="{array}")),"",IFERROR(MATCH(PARAMETERS!$M101,DEFAULT!$B$5:$CI$5,0),""))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IF($AA101="","",IF($B101="I",VLOOKUP($AA101,#REF!,53,0),INDEX(VALUES!$B$1:$BF$1,1,$AA101)))</f>
        <v/>
      </c>
    </row>
    <row r="102" spans="1:29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1" t="s">
        <v>500</v>
      </c>
      <c r="N102" s="14" t="s">
        <v>501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IF(OR($M102="",NOT($O102="{array}")),"",IFERROR(MATCH(PARAMETERS!$M102,DEFAULT!$B$5:$CI$5,0),""))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IF($AA102="","",IF($B102="I",VLOOKUP($AA102,#REF!,53,0),INDEX(VALUES!$B$1:$BF$1,1,$AA102)))</f>
        <v/>
      </c>
    </row>
    <row r="103" spans="1:29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502</v>
      </c>
      <c r="N103" s="14" t="s">
        <v>503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IF(OR($M103="",NOT($O103="{array}")),"",IFERROR(MATCH(PARAMETERS!$M103,DEFAULT!$B$5:$CI$5,0),""))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IF($AA103="","",IF($B103="I",VLOOKUP($AA103,#REF!,53,0),INDEX(VALUES!$B$1:$BF$1,1,$AA103)))</f>
        <v/>
      </c>
    </row>
    <row r="104" spans="1:29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504</v>
      </c>
      <c r="N104" s="14" t="s">
        <v>503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IF(OR($M104="",NOT($O104="{array}")),"",IFERROR(MATCH(PARAMETERS!$M104,DEFAULT!$B$5:$CI$5,0),""))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IF($AA104="","",IF($B104="I",VLOOKUP($AA104,#REF!,53,0),INDEX(VALUES!$B$1:$BF$1,1,$AA104)))</f>
        <v/>
      </c>
    </row>
    <row r="105" spans="1:29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1" t="s">
        <v>505</v>
      </c>
      <c r="N105" s="14" t="s">
        <v>506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IF(OR($M105="",NOT($O105="{array}")),"",IFERROR(MATCH(PARAMETERS!$M105,DEFAULT!$B$5:$CI$5,0),""))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IF($AA105="","",IF($B105="I",VLOOKUP($AA105,#REF!,53,0),INDEX(VALUES!$B$1:$BF$1,1,$AA105)))</f>
        <v/>
      </c>
    </row>
    <row r="106" spans="1:29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507</v>
      </c>
      <c r="N106" s="14" t="s">
        <v>508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IF(OR($M106="",NOT($O106="{array}")),"",IFERROR(MATCH(PARAMETERS!$M106,DEFAULT!$B$5:$CI$5,0),""))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IF($AA106="","",IF($B106="I",VLOOKUP($AA106,#REF!,53,0),INDEX(VALUES!$B$1:$BF$1,1,$AA106)))</f>
        <v/>
      </c>
    </row>
    <row r="107" spans="1:29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1" t="s">
        <v>509</v>
      </c>
      <c r="N107" s="14" t="s">
        <v>510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IF(OR($M107="",NOT($O107="{array}")),"",IFERROR(MATCH(PARAMETERS!$M107,DEFAULT!$B$5:$CI$5,0),""))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IF($AA107="","",IF($B107="I",VLOOKUP($AA107,#REF!,53,0),INDEX(VALUES!$B$1:$BF$1,1,$AA107)))</f>
        <v/>
      </c>
    </row>
    <row r="108" spans="1:29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511</v>
      </c>
      <c r="N108" s="14" t="s">
        <v>512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IF(OR($M108="",NOT($O108="{array}")),"",IFERROR(MATCH(PARAMETERS!$M108,DEFAULT!$B$5:$CI$5,0),""))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IF($AA108="","",IF($B108="I",VLOOKUP($AA108,#REF!,53,0),INDEX(VALUES!$B$1:$BF$1,1,$AA108)))</f>
        <v/>
      </c>
    </row>
    <row r="109" spans="1:29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7" t="s">
        <v>1000</v>
      </c>
      <c r="N109" s="53" t="s">
        <v>1001</v>
      </c>
      <c r="O109" s="155">
        <v>0.98</v>
      </c>
      <c r="Q109" s="38" t="s">
        <v>9</v>
      </c>
      <c r="R109" s="178" t="s">
        <v>103</v>
      </c>
      <c r="S109" s="178" t="s">
        <v>112</v>
      </c>
      <c r="T109" s="38"/>
      <c r="V109" s="179"/>
      <c r="W109" s="15"/>
      <c r="X109" s="160"/>
      <c r="Y109" s="53" t="s">
        <v>1002</v>
      </c>
      <c r="Z109" s="59" t="str">
        <f>IF(OR($M109="",NOT($O109="{array}")),"",IFERROR(MATCH(PARAMETERS!$M109,DEFAULT!$B$5:$CI$5,0),""))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IF($AA109="","",IF($B109="I",VLOOKUP($AA109,#REF!,53,0),INDEX(VALUES!$B$1:$BF$1,1,$AA109)))</f>
        <v/>
      </c>
    </row>
    <row r="110" spans="1:29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1003</v>
      </c>
      <c r="N110" s="53" t="s">
        <v>1004</v>
      </c>
      <c r="O110" s="155">
        <v>1.99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/>
      <c r="X110" s="160"/>
      <c r="Y110" s="53" t="s">
        <v>1005</v>
      </c>
      <c r="Z110" s="59" t="str">
        <f>IF(OR($M110="",NOT($O110="{array}")),"",IFERROR(MATCH(PARAMETERS!$M110,DEFAULT!$B$5:$CI$5,0),""))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IF($AA110="","",IF($B110="I",VLOOKUP($AA110,#REF!,53,0),INDEX(VALUES!$B$1:$BF$1,1,$AA110)))</f>
        <v/>
      </c>
    </row>
    <row r="111" spans="1:29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1" t="s">
        <v>513</v>
      </c>
      <c r="N111" s="14" t="s">
        <v>514</v>
      </c>
      <c r="O111" s="43">
        <v>1.3</v>
      </c>
      <c r="Q111" s="38" t="s">
        <v>9</v>
      </c>
      <c r="R111" s="38" t="s">
        <v>104</v>
      </c>
      <c r="S111" s="38"/>
      <c r="T111" s="38"/>
      <c r="V111" s="179"/>
      <c r="W111" s="15" t="str">
        <f>IF(IFERROR(VLOOKUP($M111,#REF!,1,0),"-")="-","","GS")</f>
        <v/>
      </c>
      <c r="X111" s="160"/>
      <c r="Y111" s="14" t="s">
        <v>515</v>
      </c>
      <c r="Z111" s="59" t="str">
        <f>IF(OR($M111="",NOT($O111="{array}")),"",IFERROR(MATCH(PARAMETERS!$M111,DEFAULT!$B$5:$CI$5,0),""))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IF($AA111="","",IF($B111="I",VLOOKUP($AA111,#REF!,53,0),INDEX(VALUES!$B$1:$BF$1,1,$AA111)))</f>
        <v/>
      </c>
    </row>
    <row r="112" spans="1:29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516</v>
      </c>
      <c r="N112" s="14" t="s">
        <v>517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X112" s="160"/>
      <c r="Y112" s="14" t="s">
        <v>518</v>
      </c>
      <c r="Z112" s="59" t="str">
        <f>IF(OR($M112="",NOT($O112="{array}")),"",IFERROR(MATCH(PARAMETERS!$M112,DEFAULT!$B$5:$CI$5,0),""))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IF($AA112="","",IF($B112="I",VLOOKUP($AA112,#REF!,53,0),INDEX(VALUES!$B$1:$BF$1,1,$AA112)))</f>
        <v/>
      </c>
    </row>
    <row r="113" spans="1:29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59" t="s">
        <v>24</v>
      </c>
      <c r="L113" s="159" t="s">
        <v>27</v>
      </c>
      <c r="M113" s="175" t="s">
        <v>519</v>
      </c>
      <c r="N113" s="159" t="s">
        <v>520</v>
      </c>
      <c r="O113" s="159">
        <v>0.8</v>
      </c>
      <c r="P113" s="176" t="s">
        <v>264</v>
      </c>
      <c r="Q113" s="177"/>
      <c r="R113" s="178" t="s">
        <v>103</v>
      </c>
      <c r="S113" s="178" t="s">
        <v>112</v>
      </c>
      <c r="T113" s="159" t="s">
        <v>264</v>
      </c>
      <c r="U113" s="159" t="s">
        <v>264</v>
      </c>
      <c r="V113" s="179" t="s">
        <v>419</v>
      </c>
      <c r="W113" s="15" t="str">
        <f>IF(IFERROR(VLOOKUP($M113,#REF!,1,0),"-")="-","","GS")</f>
        <v/>
      </c>
      <c r="X113" s="160">
        <v>44</v>
      </c>
      <c r="Y113" s="159" t="s">
        <v>521</v>
      </c>
      <c r="Z113" s="59" t="str">
        <f>IF(OR($M113="",NOT($O113="{array}")),"",IFERROR(MATCH(PARAMETERS!$M113,DEFAULT!$B$5:$CI$5,0),""))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IF($AA113="","",IF($B113="I",VLOOKUP($AA113,#REF!,53,0),INDEX(VALUES!$B$1:$BF$1,1,$AA113)))</f>
        <v/>
      </c>
    </row>
    <row r="114" spans="1:29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522</v>
      </c>
      <c r="N114" s="159" t="s">
        <v>523</v>
      </c>
      <c r="O114" s="159">
        <v>2.0499999999999998</v>
      </c>
      <c r="P114" s="176" t="s">
        <v>264</v>
      </c>
      <c r="Q114" s="177"/>
      <c r="R114" s="178" t="s">
        <v>103</v>
      </c>
      <c r="S114" s="178" t="s">
        <v>112</v>
      </c>
      <c r="T114" s="159" t="s">
        <v>264</v>
      </c>
      <c r="U114" s="159" t="s">
        <v>264</v>
      </c>
      <c r="V114" s="179" t="s">
        <v>421</v>
      </c>
      <c r="W114" s="15" t="str">
        <f>IF(IFERROR(VLOOKUP($M114,#REF!,1,0),"-")="-","","GS")</f>
        <v/>
      </c>
      <c r="X114" s="160">
        <v>45</v>
      </c>
      <c r="Y114" s="159" t="s">
        <v>521</v>
      </c>
      <c r="Z114" s="59" t="str">
        <f>IF(OR($M114="",NOT($O114="{array}")),"",IFERROR(MATCH(PARAMETERS!$M114,DEFAULT!$B$5:$CI$5,0),""))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IF($AA114="","",IF($B114="I",VLOOKUP($AA114,#REF!,53,0),INDEX(VALUES!$B$1:$BF$1,1,$AA114)))</f>
        <v/>
      </c>
    </row>
    <row r="115" spans="1:29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1" t="s">
        <v>524</v>
      </c>
      <c r="N115" s="14" t="s">
        <v>525</v>
      </c>
      <c r="O115" s="43">
        <v>1.33</v>
      </c>
      <c r="R115" s="38" t="s">
        <v>104</v>
      </c>
      <c r="S115" s="171" t="s">
        <v>112</v>
      </c>
      <c r="T115" s="166" t="s">
        <v>264</v>
      </c>
      <c r="U115" s="166" t="s">
        <v>264</v>
      </c>
      <c r="V115" s="166" t="s">
        <v>526</v>
      </c>
      <c r="W115" s="15" t="str">
        <f>IF(IFERROR(VLOOKUP($M115,#REF!,1,0),"-")="-","","GS")</f>
        <v/>
      </c>
      <c r="X115" s="160" t="s">
        <v>264</v>
      </c>
      <c r="Y115" s="166" t="s">
        <v>527</v>
      </c>
      <c r="Z115" s="59" t="str">
        <f>IF(OR($M115="",NOT($O115="{array}")),"",IFERROR(MATCH(PARAMETERS!$M115,DEFAULT!$B$5:$CI$5,0),""))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IF($AA115="","",IF($B115="I",VLOOKUP($AA115,#REF!,53,0),INDEX(VALUES!$B$1:$BF$1,1,$AA115)))</f>
        <v/>
      </c>
    </row>
    <row r="116" spans="1:29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528</v>
      </c>
      <c r="N116" s="14" t="s">
        <v>529</v>
      </c>
      <c r="O116" s="43">
        <v>2.0750000000000002</v>
      </c>
      <c r="R116" s="38" t="s">
        <v>104</v>
      </c>
      <c r="S116" s="171" t="s">
        <v>112</v>
      </c>
      <c r="T116" s="166" t="s">
        <v>264</v>
      </c>
      <c r="U116" s="166" t="s">
        <v>264</v>
      </c>
      <c r="V116" s="166" t="s">
        <v>530</v>
      </c>
      <c r="W116" s="15" t="str">
        <f>IF(IFERROR(VLOOKUP($M116,#REF!,1,0),"-")="-","","GS")</f>
        <v/>
      </c>
      <c r="X116" s="160" t="s">
        <v>264</v>
      </c>
      <c r="Y116" s="166" t="s">
        <v>531</v>
      </c>
      <c r="Z116" s="59" t="str">
        <f>IF(OR($M116="",NOT($O116="{array}")),"",IFERROR(MATCH(PARAMETERS!$M116,DEFAULT!$B$5:$CI$5,0),""))</f>
        <v/>
      </c>
      <c r="AA116" s="56" t="str">
        <f t="shared" ref="AA116:AA179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IF($AA116="","",IF($B116="I",VLOOKUP($AA116,#REF!,53,0),INDEX(VALUES!$B$1:$BF$1,1,$AA116)))</f>
        <v/>
      </c>
    </row>
    <row r="117" spans="1:29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1" t="s">
        <v>532</v>
      </c>
      <c r="N117" s="14" t="s">
        <v>533</v>
      </c>
      <c r="O117" s="43">
        <v>1</v>
      </c>
      <c r="R117" s="38" t="s">
        <v>104</v>
      </c>
      <c r="S117" s="38"/>
      <c r="T117" s="38"/>
      <c r="W117" s="15" t="str">
        <f>IF(IFERROR(VLOOKUP($M117,#REF!,1,0),"-")="-","","GS")</f>
        <v/>
      </c>
      <c r="Z117" s="59" t="str">
        <f>IF(OR($M117="",NOT($O117="{array}")),"",IFERROR(MATCH(PARAMETERS!$M117,DEFAULT!$B$5:$CI$5,0),""))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IF($AA117="","",IF($B117="I",VLOOKUP($AA117,#REF!,53,0),INDEX(VALUES!$B$1:$BF$1,1,$AA117)))</f>
        <v/>
      </c>
    </row>
    <row r="118" spans="1:29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4" t="s">
        <v>47</v>
      </c>
      <c r="L118" s="204" t="s">
        <v>27</v>
      </c>
      <c r="M118" s="192" t="s">
        <v>534</v>
      </c>
      <c r="N118" s="204" t="s">
        <v>535</v>
      </c>
      <c r="O118" s="205">
        <v>0</v>
      </c>
      <c r="P118" s="204"/>
      <c r="Q118" s="206"/>
      <c r="R118" s="206" t="s">
        <v>104</v>
      </c>
      <c r="S118" s="206"/>
      <c r="T118" s="206"/>
      <c r="U118" s="204"/>
      <c r="V118" s="204"/>
      <c r="W118" s="207" t="str">
        <f>IF(IFERROR(VLOOKUP($M118,#REF!,1,0),"-")="-","","GS")</f>
        <v/>
      </c>
      <c r="X118" s="207"/>
      <c r="Y118" s="204"/>
      <c r="Z118" s="59" t="str">
        <f>IF(OR($M118="",NOT($O118="{array}")),"",IFERROR(MATCH(PARAMETERS!$M118,DEFAULT!$B$5:$CI$5,0),""))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IF($AA118="","",IF($B118="I",VLOOKUP($AA118,#REF!,53,0),INDEX(VALUES!$B$1:$BF$1,1,$AA118)))</f>
        <v/>
      </c>
    </row>
    <row r="119" spans="1:29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536</v>
      </c>
      <c r="N119" s="204" t="s">
        <v>537</v>
      </c>
      <c r="O119" s="205">
        <v>1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X119" s="207"/>
      <c r="Y119" s="204"/>
      <c r="Z119" s="59" t="str">
        <f>IF(OR($M119="",NOT($O119="{array}")),"",IFERROR(MATCH(PARAMETERS!$M119,DEFAULT!$B$5:$CI$5,0),""))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IF($AA119="","",IF($B119="I",VLOOKUP($AA119,#REF!,53,0),INDEX(VALUES!$B$1:$BF$1,1,$AA119)))</f>
        <v/>
      </c>
    </row>
    <row r="120" spans="1:29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538</v>
      </c>
      <c r="N120" s="204" t="s">
        <v>539</v>
      </c>
      <c r="O120" s="205">
        <v>0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X120" s="207"/>
      <c r="Y120" s="204"/>
      <c r="Z120" s="59" t="str">
        <f>IF(OR($M120="",NOT($O120="{array}")),"",IFERROR(MATCH(PARAMETERS!$M120,DEFAULT!$B$5:$CI$5,0),""))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IF($AA120="","",IF($B120="I",VLOOKUP($AA120,#REF!,53,0),INDEX(VALUES!$B$1:$BF$1,1,$AA120)))</f>
        <v/>
      </c>
    </row>
    <row r="121" spans="1:29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540</v>
      </c>
      <c r="N121" s="204" t="s">
        <v>541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X121" s="207"/>
      <c r="Y121" s="204"/>
      <c r="Z121" s="59" t="str">
        <f>IF(OR($M121="",NOT($O121="{array}")),"",IFERROR(MATCH(PARAMETERS!$M121,DEFAULT!$B$5:$CI$5,0),""))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IF($AA121="","",IF($B121="I",VLOOKUP($AA121,#REF!,53,0),INDEX(VALUES!$B$1:$BF$1,1,$AA121)))</f>
        <v/>
      </c>
    </row>
    <row r="122" spans="1:29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542</v>
      </c>
      <c r="N122" s="204" t="s">
        <v>543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X122" s="207"/>
      <c r="Y122" s="204"/>
      <c r="Z122" s="59" t="str">
        <f>IF(OR($M122="",NOT($O122="{array}")),"",IFERROR(MATCH(PARAMETERS!$M122,DEFAULT!$B$5:$CI$5,0),""))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IF($AA122="","",IF($B122="I",VLOOKUP($AA122,#REF!,53,0),INDEX(VALUES!$B$1:$BF$1,1,$AA122)))</f>
        <v/>
      </c>
    </row>
    <row r="123" spans="1:29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544</v>
      </c>
      <c r="N123" s="204" t="s">
        <v>545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X123" s="207"/>
      <c r="Y123" s="204"/>
      <c r="Z123" s="59" t="str">
        <f>IF(OR($M123="",NOT($O123="{array}")),"",IFERROR(MATCH(PARAMETERS!$M123,DEFAULT!$B$5:$CI$5,0),""))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IF($AA123="","",IF($B123="I",VLOOKUP($AA123,#REF!,53,0),INDEX(VALUES!$B$1:$BF$1,1,$AA123)))</f>
        <v/>
      </c>
    </row>
    <row r="124" spans="1:29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1" t="s">
        <v>546</v>
      </c>
      <c r="N124" s="14" t="s">
        <v>547</v>
      </c>
      <c r="O124" s="43">
        <v>1</v>
      </c>
      <c r="R124" s="38" t="s">
        <v>104</v>
      </c>
      <c r="S124" s="38"/>
      <c r="T124" s="38"/>
      <c r="W124" s="15" t="str">
        <f>IF(IFERROR(VLOOKUP($M124,#REF!,1,0),"-")="-","","GS")</f>
        <v/>
      </c>
      <c r="Z124" s="59" t="str">
        <f>IF(OR($M124="",NOT($O124="{array}")),"",IFERROR(MATCH(PARAMETERS!$M124,DEFAULT!$B$5:$CI$5,0),""))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IF($AA124="","",IF($B124="I",VLOOKUP($AA124,#REF!,53,0),INDEX(VALUES!$B$1:$BF$1,1,$AA124)))</f>
        <v/>
      </c>
    </row>
    <row r="125" spans="1:29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548</v>
      </c>
      <c r="N125" s="41" t="s">
        <v>549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IF(OR($M125="",NOT($O125="{array}")),"",IFERROR(MATCH(PARAMETERS!$M125,DEFAULT!$B$5:$CI$5,0),""))</f>
        <v/>
      </c>
      <c r="AA125" s="56" t="str">
        <f t="shared" si="7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IF($AA125="","",IF($B125="I",VLOOKUP($AA125,#REF!,53,0),INDEX(VALUES!$B$1:$BF$1,1,$AA125)))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550</v>
      </c>
      <c r="N126" s="53" t="s">
        <v>551</v>
      </c>
      <c r="O126" s="155" t="str">
        <f>"UZ"</f>
        <v>UZ</v>
      </c>
      <c r="R126" s="38" t="s">
        <v>195</v>
      </c>
      <c r="S126" s="38"/>
      <c r="T126" s="38"/>
      <c r="W126" s="15"/>
      <c r="Z126" s="59" t="str">
        <f>IF(OR($M126="",NOT($O126="{array}")),"",IFERROR(MATCH(PARAMETERS!$M126,DEFAULT!$B$5:$CI$5,0),""))</f>
        <v/>
      </c>
      <c r="AA126" s="56" t="str">
        <f t="shared" si="7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IF($AA126="","",IF($B126="I",VLOOKUP($AA126,#REF!,53,0),INDEX(VALUES!$B$1:$BF$1,1,$AA126)))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552</v>
      </c>
      <c r="N127" s="14" t="s">
        <v>553</v>
      </c>
      <c r="O127" s="43" t="s">
        <v>178</v>
      </c>
      <c r="Q127" s="170"/>
      <c r="R127" s="171"/>
      <c r="S127" s="171" t="s">
        <v>112</v>
      </c>
      <c r="T127" s="166" t="s">
        <v>264</v>
      </c>
      <c r="U127" s="166" t="s">
        <v>264</v>
      </c>
      <c r="V127" s="166" t="s">
        <v>554</v>
      </c>
      <c r="W127" s="15" t="str">
        <f>IF(IFERROR(VLOOKUP($M127,#REF!,1,0),"-")="-","","GS")</f>
        <v/>
      </c>
      <c r="X127" s="160">
        <v>25</v>
      </c>
      <c r="Y127" s="166" t="s">
        <v>555</v>
      </c>
      <c r="Z127" s="59" t="str">
        <f>IF(OR($M127="",NOT($O127="{array}")),"",IFERROR(MATCH(PARAMETERS!$M127,DEFAULT!$B$5:$CI$5,0),""))</f>
        <v/>
      </c>
      <c r="AA127" s="56" t="str">
        <f t="shared" si="7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IF($AA127="","",IF($B127="I",VLOOKUP($AA127,#REF!,53,0),INDEX(VALUES!$B$1:$BF$1,1,$AA127)))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556</v>
      </c>
      <c r="N128" s="14" t="s">
        <v>553</v>
      </c>
      <c r="O128" s="43">
        <v>1</v>
      </c>
      <c r="R128" s="38" t="s">
        <v>104</v>
      </c>
      <c r="S128" s="38"/>
      <c r="T128" s="38"/>
      <c r="W128" s="15" t="str">
        <f>IF(IFERROR(VLOOKUP($M128,#REF!,1,0),"-")="-","","GS")</f>
        <v/>
      </c>
      <c r="Z128" s="59" t="str">
        <f>IF(OR($M128="",NOT($O128="{array}")),"",IFERROR(MATCH(PARAMETERS!$M128,DEFAULT!$B$5:$CI$5,0),""))</f>
        <v/>
      </c>
      <c r="AA128" s="56" t="str">
        <f t="shared" si="7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IF($AA128="","",IF($B128="I",VLOOKUP($AA128,#REF!,53,0),INDEX(VALUES!$B$1:$BF$1,1,$AA128)))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27" t="s">
        <v>936</v>
      </c>
      <c r="N129" s="14" t="s">
        <v>937</v>
      </c>
      <c r="O129" s="43">
        <v>3</v>
      </c>
      <c r="R129" s="171" t="s">
        <v>103</v>
      </c>
      <c r="S129" s="171" t="s">
        <v>112</v>
      </c>
      <c r="T129" s="166" t="s">
        <v>264</v>
      </c>
      <c r="U129" s="166" t="s">
        <v>264</v>
      </c>
      <c r="V129" s="166" t="s">
        <v>557</v>
      </c>
      <c r="W129" s="15" t="str">
        <f>IF(IFERROR(VLOOKUP($M129,#REF!,1,0),"-")="-","","GS")</f>
        <v/>
      </c>
      <c r="X129" s="160">
        <v>51</v>
      </c>
      <c r="Y129" s="166" t="s">
        <v>558</v>
      </c>
      <c r="Z129" s="59" t="str">
        <f>IF(OR($M129="",NOT($O129="{array}")),"",IFERROR(MATCH(PARAMETERS!$M129,DEFAULT!$B$5:$CI$5,0),""))</f>
        <v/>
      </c>
      <c r="AA129" s="56" t="str">
        <f t="shared" si="7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IF($AA129="","",IF($B129="I",VLOOKUP($AA129,#REF!,53,0),INDEX(VALUES!$B$1:$BF$1,1,$AA129)))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6" t="s">
        <v>18</v>
      </c>
      <c r="L130" s="14" t="s">
        <v>32</v>
      </c>
      <c r="M130" s="157" t="s">
        <v>999</v>
      </c>
      <c r="N130" s="166" t="s">
        <v>559</v>
      </c>
      <c r="O130" s="166" t="s">
        <v>960</v>
      </c>
      <c r="P130" s="160" t="s">
        <v>264</v>
      </c>
      <c r="Q130" s="171" t="s">
        <v>9</v>
      </c>
      <c r="R130" s="171" t="s">
        <v>103</v>
      </c>
      <c r="S130" s="171" t="s">
        <v>112</v>
      </c>
      <c r="T130" s="166" t="s">
        <v>264</v>
      </c>
      <c r="U130" s="166" t="s">
        <v>264</v>
      </c>
      <c r="V130" s="166" t="s">
        <v>559</v>
      </c>
      <c r="W130" s="15" t="str">
        <f>IF(IFERROR(VLOOKUP($M130,#REF!,1,0),"-")="-","","GS")</f>
        <v/>
      </c>
      <c r="X130" s="160">
        <v>51</v>
      </c>
      <c r="Y130" s="166" t="s">
        <v>558</v>
      </c>
      <c r="Z130" s="59" t="str">
        <f>IF(OR($M130="",NOT($O130="{array}")),"",IFERROR(MATCH(PARAMETERS!$M130,DEFAULT!$B$5:$CI$5,0),""))</f>
        <v/>
      </c>
      <c r="AA130" s="56" t="str">
        <f t="shared" si="7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IF($AA130="","",IF($B130="I",VLOOKUP($AA130,#REF!,53,0),INDEX(VALUES!$B$1:$BF$1,1,$AA130)))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9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560</v>
      </c>
      <c r="N131" s="14" t="s">
        <v>561</v>
      </c>
      <c r="O131" s="43">
        <v>1</v>
      </c>
      <c r="R131" s="38" t="s">
        <v>104</v>
      </c>
      <c r="S131" s="38"/>
      <c r="T131" s="38"/>
      <c r="W131" s="15" t="str">
        <f>IF(IFERROR(VLOOKUP($M131,#REF!,1,0),"-")="-","","GS")</f>
        <v/>
      </c>
      <c r="Z131" s="59" t="str">
        <f>IF(OR($M131="",NOT($O131="{array}")),"",IFERROR(MATCH(PARAMETERS!$M131,DEFAULT!$B$5:$CI$5,0),""))</f>
        <v/>
      </c>
      <c r="AA131" s="56" t="str">
        <f t="shared" si="7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IF($AA131="","",IF($B131="I",VLOOKUP($AA131,#REF!,53,0),INDEX(VALUES!$B$1:$BF$1,1,$AA131)))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9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562</v>
      </c>
      <c r="N132" s="14" t="s">
        <v>563</v>
      </c>
      <c r="O132" s="43">
        <v>0.1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IF(OR($M132="",NOT($O132="{array}")),"",IFERROR(MATCH(PARAMETERS!$M132,DEFAULT!$B$5:$CI$5,0),""))</f>
        <v/>
      </c>
      <c r="AA132" s="56" t="str">
        <f t="shared" si="7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IF($AA132="","",IF($B132="I",VLOOKUP($AA132,#REF!,53,0),INDEX(VALUES!$B$1:$BF$1,1,$AA132)))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9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564</v>
      </c>
      <c r="N133" s="14" t="s">
        <v>565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IF(OR($M133="",NOT($O133="{array}")),"",IFERROR(MATCH(PARAMETERS!$M133,DEFAULT!$B$5:$CI$5,0),""))</f>
        <v/>
      </c>
      <c r="AA133" s="56" t="str">
        <f t="shared" si="7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IF($AA133="","",IF($B133="I",VLOOKUP($AA133,#REF!,53,0),INDEX(VALUES!$B$1:$BF$1,1,$AA133)))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9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566</v>
      </c>
      <c r="N134" s="14" t="s">
        <v>567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IF(OR($M134="",NOT($O134="{array}")),"",IFERROR(MATCH(PARAMETERS!$M134,DEFAULT!$B$5:$CI$5,0),""))</f>
        <v/>
      </c>
      <c r="AA134" s="56" t="str">
        <f t="shared" si="7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IF($AA134="","",IF($B134="I",VLOOKUP($AA134,#REF!,53,0),INDEX(VALUES!$B$1:$BF$1,1,$AA134)))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9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568</v>
      </c>
      <c r="N135" s="14" t="s">
        <v>569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IF(OR($M135="",NOT($O135="{array}")),"",IFERROR(MATCH(PARAMETERS!$M135,DEFAULT!$B$5:$CI$5,0),""))</f>
        <v/>
      </c>
      <c r="AA135" s="56" t="str">
        <f t="shared" si="7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IF($AA135="","",IF($B135="I",VLOOKUP($AA135,#REF!,53,0),INDEX(VALUES!$B$1:$BF$1,1,$AA135)))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9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570</v>
      </c>
      <c r="N136" s="14" t="s">
        <v>571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IF(OR($M136="",NOT($O136="{array}")),"",IFERROR(MATCH(PARAMETERS!$M136,DEFAULT!$B$5:$CI$5,0),""))</f>
        <v/>
      </c>
      <c r="AA136" s="56" t="str">
        <f t="shared" si="7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IF($AA136="","",IF($B136="I",VLOOKUP($AA136,#REF!,53,0),INDEX(VALUES!$B$1:$BF$1,1,$AA136)))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9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572</v>
      </c>
      <c r="N137" s="14" t="s">
        <v>573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IF(OR($M137="",NOT($O137="{array}")),"",IFERROR(MATCH(PARAMETERS!$M137,DEFAULT!$B$5:$CI$5,0),""))</f>
        <v/>
      </c>
      <c r="AA137" s="56" t="str">
        <f t="shared" si="7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IF($AA137="","",IF($B137="I",VLOOKUP($AA137,#REF!,53,0),INDEX(VALUES!$B$1:$BF$1,1,$AA137)))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9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574</v>
      </c>
      <c r="N138" s="14" t="s">
        <v>575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IF(OR($M138="",NOT($O138="{array}")),"",IFERROR(MATCH(PARAMETERS!$M138,DEFAULT!$B$5:$CI$5,0),""))</f>
        <v/>
      </c>
      <c r="AA138" s="56" t="str">
        <f t="shared" si="7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IF($AA138="","",IF($B138="I",VLOOKUP($AA138,#REF!,53,0),INDEX(VALUES!$B$1:$BF$1,1,$AA138)))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9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576</v>
      </c>
      <c r="N139" s="14" t="s">
        <v>577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IF(OR($M139="",NOT($O139="{array}")),"",IFERROR(MATCH(PARAMETERS!$M139,DEFAULT!$B$5:$CI$5,0),""))</f>
        <v/>
      </c>
      <c r="AA139" s="56" t="str">
        <f t="shared" si="7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IF($AA139="","",IF($B139="I",VLOOKUP($AA139,#REF!,53,0),INDEX(VALUES!$B$1:$BF$1,1,$AA139)))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9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578</v>
      </c>
      <c r="N140" s="14" t="s">
        <v>579</v>
      </c>
      <c r="O140" s="43">
        <v>7.0000000000000007E-2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IF(OR($M140="",NOT($O140="{array}")),"",IFERROR(MATCH(PARAMETERS!$M140,DEFAULT!$B$5:$CI$5,0),""))</f>
        <v/>
      </c>
      <c r="AA140" s="56" t="str">
        <f t="shared" si="7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IF($AA140="","",IF($B140="I",VLOOKUP($AA140,#REF!,53,0),INDEX(VALUES!$B$1:$BF$1,1,$AA140)))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9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27" t="s">
        <v>913</v>
      </c>
      <c r="N141" s="53" t="s">
        <v>914</v>
      </c>
      <c r="O141" s="155">
        <v>1</v>
      </c>
      <c r="P141" s="53"/>
      <c r="Q141" s="208" t="s">
        <v>9</v>
      </c>
      <c r="R141" s="38" t="s">
        <v>195</v>
      </c>
      <c r="S141" s="228" t="s">
        <v>112</v>
      </c>
      <c r="T141" s="170"/>
      <c r="U141" s="166"/>
      <c r="V141" s="166"/>
      <c r="W141" s="15"/>
      <c r="X141" s="160"/>
      <c r="Y141" s="166"/>
      <c r="Z141" s="59" t="str">
        <f>IF(OR($M141="",NOT($O141="{array}")),"",IFERROR(MATCH(PARAMETERS!$M141,DEFAULT!$B$5:$CI$5,0),""))</f>
        <v/>
      </c>
      <c r="AA141" s="56" t="str">
        <f t="shared" si="7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IF($AA141="","",IF($B141="I",VLOOKUP($AA141,#REF!,53,0),INDEX(VALUES!$B$1:$BF$1,1,$AA141)))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9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27" t="s">
        <v>915</v>
      </c>
      <c r="N142" s="53" t="s">
        <v>916</v>
      </c>
      <c r="O142" s="155">
        <v>7.0000000000000007E-2</v>
      </c>
      <c r="P142" s="53"/>
      <c r="Q142" s="208" t="s">
        <v>9</v>
      </c>
      <c r="R142" s="38" t="s">
        <v>195</v>
      </c>
      <c r="S142" s="228" t="s">
        <v>112</v>
      </c>
      <c r="T142" s="170"/>
      <c r="U142" s="166"/>
      <c r="V142" s="166"/>
      <c r="W142" s="15"/>
      <c r="X142" s="160"/>
      <c r="Y142" s="166"/>
      <c r="Z142" s="59" t="str">
        <f>IF(OR($M142="",NOT($O142="{array}")),"",IFERROR(MATCH(PARAMETERS!$M142,DEFAULT!$B$5:$CI$5,0),""))</f>
        <v/>
      </c>
      <c r="AA142" s="56" t="str">
        <f t="shared" si="7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IF($AA142="","",IF($B142="I",VLOOKUP($AA142,#REF!,53,0),INDEX(VALUES!$B$1:$BF$1,1,$AA142)))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9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27" t="s">
        <v>917</v>
      </c>
      <c r="N143" s="53" t="s">
        <v>918</v>
      </c>
      <c r="O143" s="155">
        <v>0.1</v>
      </c>
      <c r="P143" s="53"/>
      <c r="Q143" s="208" t="s">
        <v>9</v>
      </c>
      <c r="R143" s="38" t="s">
        <v>195</v>
      </c>
      <c r="S143" s="228" t="s">
        <v>112</v>
      </c>
      <c r="T143" s="170"/>
      <c r="U143" s="166"/>
      <c r="V143" s="166"/>
      <c r="W143" s="15"/>
      <c r="X143" s="160"/>
      <c r="Y143" s="166"/>
      <c r="Z143" s="59" t="str">
        <f>IF(OR($M143="",NOT($O143="{array}")),"",IFERROR(MATCH(PARAMETERS!$M143,DEFAULT!$B$5:$CI$5,0),""))</f>
        <v/>
      </c>
      <c r="AA143" s="56" t="str">
        <f t="shared" si="7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IF($AA143="","",IF($B143="I",VLOOKUP($AA143,#REF!,53,0),INDEX(VALUES!$B$1:$BF$1,1,$AA143)))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9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27" t="s">
        <v>919</v>
      </c>
      <c r="N144" s="53" t="s">
        <v>920</v>
      </c>
      <c r="O144" s="155">
        <v>0.1</v>
      </c>
      <c r="P144" s="53"/>
      <c r="Q144" s="208" t="s">
        <v>9</v>
      </c>
      <c r="R144" s="38" t="s">
        <v>195</v>
      </c>
      <c r="S144" s="228" t="s">
        <v>112</v>
      </c>
      <c r="T144" s="170"/>
      <c r="U144" s="166"/>
      <c r="V144" s="166"/>
      <c r="W144" s="15"/>
      <c r="X144" s="160"/>
      <c r="Y144" s="166"/>
      <c r="Z144" s="59" t="str">
        <f>IF(OR($M144="",NOT($O144="{array}")),"",IFERROR(MATCH(PARAMETERS!$M144,DEFAULT!$B$5:$CI$5,0),""))</f>
        <v/>
      </c>
      <c r="AA144" s="56" t="str">
        <f t="shared" si="7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IF($AA144="","",IF($B144="I",VLOOKUP($AA144,#REF!,53,0),INDEX(VALUES!$B$1:$BF$1,1,$AA144)))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9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27" t="s">
        <v>921</v>
      </c>
      <c r="N145" s="53" t="s">
        <v>922</v>
      </c>
      <c r="O145" s="155">
        <v>0.1</v>
      </c>
      <c r="P145" s="53"/>
      <c r="Q145" s="208" t="s">
        <v>9</v>
      </c>
      <c r="R145" s="38" t="s">
        <v>195</v>
      </c>
      <c r="S145" s="228" t="s">
        <v>112</v>
      </c>
      <c r="T145" s="170"/>
      <c r="U145" s="166"/>
      <c r="V145" s="166"/>
      <c r="W145" s="15"/>
      <c r="X145" s="160"/>
      <c r="Y145" s="166"/>
      <c r="Z145" s="59" t="str">
        <f>IF(OR($M145="",NOT($O145="{array}")),"",IFERROR(MATCH(PARAMETERS!$M145,DEFAULT!$B$5:$CI$5,0),""))</f>
        <v/>
      </c>
      <c r="AA145" s="56" t="str">
        <f t="shared" si="7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IF($AA145="","",IF($B145="I",VLOOKUP($AA145,#REF!,53,0),INDEX(VALUES!$B$1:$BF$1,1,$AA145)))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9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27" t="s">
        <v>923</v>
      </c>
      <c r="N146" s="53" t="s">
        <v>924</v>
      </c>
      <c r="O146" s="155">
        <v>0.12</v>
      </c>
      <c r="P146" s="53"/>
      <c r="Q146" s="208" t="s">
        <v>9</v>
      </c>
      <c r="R146" s="38" t="s">
        <v>195</v>
      </c>
      <c r="S146" s="228" t="s">
        <v>112</v>
      </c>
      <c r="T146" s="170"/>
      <c r="U146" s="166"/>
      <c r="V146" s="166"/>
      <c r="W146" s="15"/>
      <c r="X146" s="160"/>
      <c r="Y146" s="166"/>
      <c r="Z146" s="59" t="str">
        <f>IF(OR($M146="",NOT($O146="{array}")),"",IFERROR(MATCH(PARAMETERS!$M146,DEFAULT!$B$5:$CI$5,0),""))</f>
        <v/>
      </c>
      <c r="AA146" s="56" t="str">
        <f t="shared" si="7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IF($AA146="","",IF($B146="I",VLOOKUP($AA146,#REF!,53,0),INDEX(VALUES!$B$1:$BF$1,1,$AA146)))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9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27" t="s">
        <v>925</v>
      </c>
      <c r="N147" s="53" t="s">
        <v>926</v>
      </c>
      <c r="O147" s="155">
        <v>8.0000000000000002E-3</v>
      </c>
      <c r="P147" s="53"/>
      <c r="Q147" s="208" t="s">
        <v>9</v>
      </c>
      <c r="R147" s="38" t="s">
        <v>195</v>
      </c>
      <c r="S147" s="228" t="s">
        <v>112</v>
      </c>
      <c r="T147" s="170"/>
      <c r="U147" s="166"/>
      <c r="V147" s="166"/>
      <c r="W147" s="15"/>
      <c r="X147" s="160"/>
      <c r="Y147" s="166"/>
      <c r="Z147" s="59" t="str">
        <f>IF(OR($M147="",NOT($O147="{array}")),"",IFERROR(MATCH(PARAMETERS!$M147,DEFAULT!$B$5:$CI$5,0),""))</f>
        <v/>
      </c>
      <c r="AA147" s="56" t="str">
        <f t="shared" si="7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IF($AA147="","",IF($B147="I",VLOOKUP($AA147,#REF!,53,0),INDEX(VALUES!$B$1:$BF$1,1,$AA147)))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9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27" t="s">
        <v>927</v>
      </c>
      <c r="N148" s="53" t="s">
        <v>928</v>
      </c>
      <c r="O148" s="155">
        <v>8.0000000000000002E-3</v>
      </c>
      <c r="P148" s="53"/>
      <c r="Q148" s="208" t="s">
        <v>9</v>
      </c>
      <c r="R148" s="38" t="s">
        <v>195</v>
      </c>
      <c r="S148" s="228" t="s">
        <v>112</v>
      </c>
      <c r="T148" s="170"/>
      <c r="U148" s="166"/>
      <c r="V148" s="166"/>
      <c r="W148" s="15"/>
      <c r="X148" s="160"/>
      <c r="Y148" s="166"/>
      <c r="Z148" s="59" t="str">
        <f>IF(OR($M148="",NOT($O148="{array}")),"",IFERROR(MATCH(PARAMETERS!$M148,DEFAULT!$B$5:$CI$5,0),""))</f>
        <v/>
      </c>
      <c r="AA148" s="56" t="str">
        <f t="shared" si="7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IF($AA148="","",IF($B148="I",VLOOKUP($AA148,#REF!,53,0),INDEX(VALUES!$B$1:$BF$1,1,$AA148)))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9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27" t="s">
        <v>933</v>
      </c>
      <c r="N149" s="166" t="s">
        <v>580</v>
      </c>
      <c r="O149" s="159">
        <v>3.5000000000000003E-2</v>
      </c>
      <c r="P149" s="160"/>
      <c r="Q149" s="171" t="s">
        <v>9</v>
      </c>
      <c r="R149" s="171" t="s">
        <v>103</v>
      </c>
      <c r="S149" s="171" t="s">
        <v>112</v>
      </c>
      <c r="T149" s="166" t="s">
        <v>264</v>
      </c>
      <c r="U149" s="166" t="s">
        <v>264</v>
      </c>
      <c r="V149" s="166" t="s">
        <v>580</v>
      </c>
      <c r="W149" s="15" t="str">
        <f>IF(IFERROR(VLOOKUP($M149,#REF!,1,0),"-")="-","","GS")</f>
        <v/>
      </c>
      <c r="X149" s="160">
        <v>53</v>
      </c>
      <c r="Y149" s="166" t="s">
        <v>581</v>
      </c>
      <c r="Z149" s="59" t="str">
        <f>IF(OR($M149="",NOT($O149="{array}")),"",IFERROR(MATCH(PARAMETERS!$M149,DEFAULT!$B$5:$CI$5,0),""))</f>
        <v/>
      </c>
      <c r="AA149" s="56" t="str">
        <f t="shared" si="7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IF($AA149="","",IF($B149="I",VLOOKUP($AA149,#REF!,53,0),INDEX(VALUES!$B$1:$BF$1,1,$AA149)))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9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27" t="s">
        <v>934</v>
      </c>
      <c r="N150" s="159" t="s">
        <v>582</v>
      </c>
      <c r="O150" s="159">
        <v>3.5000000000000003E-2</v>
      </c>
      <c r="P150" s="176"/>
      <c r="Q150" s="178" t="s">
        <v>9</v>
      </c>
      <c r="R150" s="178" t="s">
        <v>103</v>
      </c>
      <c r="S150" s="178" t="s">
        <v>112</v>
      </c>
      <c r="T150" s="159" t="s">
        <v>264</v>
      </c>
      <c r="U150" s="159" t="s">
        <v>264</v>
      </c>
      <c r="V150" s="159" t="s">
        <v>582</v>
      </c>
      <c r="W150" s="15" t="str">
        <f>IF(IFERROR(VLOOKUP($M150,#REF!,1,0),"-")="-","","GS")</f>
        <v/>
      </c>
      <c r="X150" s="176">
        <v>53</v>
      </c>
      <c r="Y150" s="159" t="s">
        <v>581</v>
      </c>
      <c r="Z150" s="59" t="str">
        <f>IF(OR($M150="",NOT($O150="{array}")),"",IFERROR(MATCH(PARAMETERS!$M150,DEFAULT!$B$5:$CI$5,0),""))</f>
        <v/>
      </c>
      <c r="AA150" s="56" t="str">
        <f t="shared" si="7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IF($AA150="","",IF($B150="I",VLOOKUP($AA150,#REF!,53,0),INDEX(VALUES!$B$1:$BF$1,1,$AA150)))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9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27" t="s">
        <v>935</v>
      </c>
      <c r="N151" s="159" t="s">
        <v>583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264</v>
      </c>
      <c r="U151" s="159" t="s">
        <v>264</v>
      </c>
      <c r="V151" s="159" t="s">
        <v>583</v>
      </c>
      <c r="W151" s="15" t="str">
        <f>IF(IFERROR(VLOOKUP($M151,#REF!,1,0),"-")="-","","GS")</f>
        <v/>
      </c>
      <c r="X151" s="176">
        <v>53</v>
      </c>
      <c r="Y151" s="159" t="s">
        <v>581</v>
      </c>
      <c r="Z151" s="59" t="str">
        <f>IF(OR($M151="",NOT($O151="{array}")),"",IFERROR(MATCH(PARAMETERS!$M151,DEFAULT!$B$5:$CI$5,0),""))</f>
        <v/>
      </c>
      <c r="AA151" s="56" t="str">
        <f t="shared" si="7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IF($AA151="","",IF($B151="I",VLOOKUP($AA151,#REF!,53,0),INDEX(VALUES!$B$1:$BF$1,1,$AA151)))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9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27" t="s">
        <v>940</v>
      </c>
      <c r="N152" s="159" t="s">
        <v>584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264</v>
      </c>
      <c r="U152" s="159" t="s">
        <v>264</v>
      </c>
      <c r="V152" s="159" t="s">
        <v>584</v>
      </c>
      <c r="W152" s="15" t="str">
        <f>IF(IFERROR(VLOOKUP($M152,#REF!,1,0),"-")="-","","GS")</f>
        <v/>
      </c>
      <c r="X152" s="176">
        <v>53</v>
      </c>
      <c r="Y152" s="159" t="s">
        <v>581</v>
      </c>
      <c r="Z152" s="59" t="str">
        <f>IF(OR($M152="",NOT($O152="{array}")),"",IFERROR(MATCH(PARAMETERS!$M152,DEFAULT!$B$5:$CI$5,0),""))</f>
        <v/>
      </c>
      <c r="AA152" s="56" t="str">
        <f t="shared" si="7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IF($AA152="","",IF($B152="I",VLOOKUP($AA152,#REF!,53,0),INDEX(VALUES!$B$1:$BF$1,1,$AA152)))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9"/>
        <v>152</v>
      </c>
      <c r="D153" s="38"/>
      <c r="E153" s="38"/>
      <c r="F153" s="38"/>
      <c r="G153" s="38"/>
      <c r="H153" s="38"/>
      <c r="I153" s="38" t="s">
        <v>9</v>
      </c>
      <c r="J153" s="38"/>
      <c r="K153" s="166" t="s">
        <v>36</v>
      </c>
      <c r="L153" s="14" t="s">
        <v>27</v>
      </c>
      <c r="M153" s="166" t="s">
        <v>585</v>
      </c>
      <c r="N153" s="166" t="s">
        <v>264</v>
      </c>
      <c r="O153" s="166" t="s">
        <v>264</v>
      </c>
      <c r="P153" s="160" t="s">
        <v>128</v>
      </c>
      <c r="Q153" s="170" t="s">
        <v>9</v>
      </c>
      <c r="R153" s="171" t="s">
        <v>103</v>
      </c>
      <c r="S153" s="171" t="s">
        <v>112</v>
      </c>
      <c r="T153" s="166" t="s">
        <v>264</v>
      </c>
      <c r="U153" s="166" t="s">
        <v>264</v>
      </c>
      <c r="V153" s="166" t="s">
        <v>585</v>
      </c>
      <c r="W153" s="15" t="str">
        <f>IF(IFERROR(VLOOKUP($M153,#REF!,1,0),"-")="-","","GS")</f>
        <v/>
      </c>
      <c r="X153" s="160">
        <v>49</v>
      </c>
      <c r="Y153" s="166" t="s">
        <v>586</v>
      </c>
      <c r="Z153" s="59" t="str">
        <f>IF(OR($M153="",NOT($O153="{array}")),"",IFERROR(MATCH(PARAMETERS!$M153,DEFAULT!$B$5:$CI$5,0),""))</f>
        <v/>
      </c>
      <c r="AA153" s="56" t="str">
        <f t="shared" si="7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IF($AA153="","",IF($B153="I",VLOOKUP($AA153,#REF!,53,0),INDEX(VALUES!$B$1:$BF$1,1,$AA153)))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9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44</v>
      </c>
      <c r="L154" s="14" t="s">
        <v>27</v>
      </c>
      <c r="M154" s="166" t="s">
        <v>587</v>
      </c>
      <c r="N154" s="166" t="s">
        <v>264</v>
      </c>
      <c r="O154" s="166" t="s">
        <v>264</v>
      </c>
      <c r="P154" s="160" t="s">
        <v>124</v>
      </c>
      <c r="Q154" s="170" t="s">
        <v>9</v>
      </c>
      <c r="R154" s="171" t="s">
        <v>103</v>
      </c>
      <c r="S154" s="171" t="s">
        <v>112</v>
      </c>
      <c r="T154" s="166" t="s">
        <v>264</v>
      </c>
      <c r="U154" s="166" t="s">
        <v>264</v>
      </c>
      <c r="V154" s="166" t="s">
        <v>587</v>
      </c>
      <c r="W154" s="15" t="str">
        <f>IF(IFERROR(VLOOKUP($M154,#REF!,1,0),"-")="-","","GS")</f>
        <v/>
      </c>
      <c r="X154" s="160">
        <v>52</v>
      </c>
      <c r="Y154" s="166" t="s">
        <v>588</v>
      </c>
      <c r="Z154" s="59" t="str">
        <f>IF(OR($M154="",NOT($O154="{array}")),"",IFERROR(MATCH(PARAMETERS!$M154,DEFAULT!$B$5:$CI$5,0),""))</f>
        <v/>
      </c>
      <c r="AA154" s="56" t="str">
        <f t="shared" si="7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IF($AA154="","",IF($B154="I",VLOOKUP($AA154,#REF!,53,0),INDEX(VALUES!$B$1:$BF$1,1,$AA154)))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9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589</v>
      </c>
      <c r="N155" s="166" t="s">
        <v>264</v>
      </c>
      <c r="O155" s="166" t="s">
        <v>264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264</v>
      </c>
      <c r="U155" s="166" t="s">
        <v>264</v>
      </c>
      <c r="V155" s="166" t="s">
        <v>589</v>
      </c>
      <c r="W155" s="15" t="str">
        <f>IF(IFERROR(VLOOKUP($M155,#REF!,1,0),"-")="-","","GS")</f>
        <v/>
      </c>
      <c r="X155" s="160" t="s">
        <v>264</v>
      </c>
      <c r="Y155" s="166" t="s">
        <v>590</v>
      </c>
      <c r="Z155" s="59" t="str">
        <f>IF(OR($M155="",NOT($O155="{array}")),"",IFERROR(MATCH(PARAMETERS!$M155,DEFAULT!$B$5:$CI$5,0),""))</f>
        <v/>
      </c>
      <c r="AA155" s="56" t="str">
        <f t="shared" si="7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IF($AA155="","",IF($B155="I",VLOOKUP($AA155,#REF!,53,0),INDEX(VALUES!$B$1:$BF$1,1,$AA155)))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9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591</v>
      </c>
      <c r="N156" s="166" t="s">
        <v>264</v>
      </c>
      <c r="O156" s="166" t="s">
        <v>264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264</v>
      </c>
      <c r="U156" s="166" t="s">
        <v>264</v>
      </c>
      <c r="V156" s="166" t="s">
        <v>591</v>
      </c>
      <c r="W156" s="15" t="str">
        <f>IF(IFERROR(VLOOKUP($M156,#REF!,1,0),"-")="-","","GS")</f>
        <v/>
      </c>
      <c r="X156" s="160">
        <v>54</v>
      </c>
      <c r="Y156" s="166" t="s">
        <v>592</v>
      </c>
      <c r="Z156" s="59" t="str">
        <f>IF(OR($M156="",NOT($O156="{array}")),"",IFERROR(MATCH(PARAMETERS!$M156,DEFAULT!$B$5:$CI$5,0),""))</f>
        <v/>
      </c>
      <c r="AA156" s="56" t="str">
        <f t="shared" si="7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IF($AA156="","",IF($B156="I",VLOOKUP($AA156,#REF!,53,0),INDEX(VALUES!$B$1:$BF$1,1,$AA156)))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9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75" t="s">
        <v>593</v>
      </c>
      <c r="N157" s="166" t="s">
        <v>594</v>
      </c>
      <c r="O157" s="166">
        <v>1</v>
      </c>
      <c r="P157" s="160" t="s">
        <v>264</v>
      </c>
      <c r="Q157" s="170"/>
      <c r="R157" s="171" t="s">
        <v>103</v>
      </c>
      <c r="S157" s="171" t="s">
        <v>112</v>
      </c>
      <c r="T157" s="166" t="s">
        <v>264</v>
      </c>
      <c r="U157" s="166" t="s">
        <v>264</v>
      </c>
      <c r="V157" s="166" t="s">
        <v>594</v>
      </c>
      <c r="W157" s="15" t="str">
        <f>IF(IFERROR(VLOOKUP($M157,#REF!,1,0),"-")="-","","GS")</f>
        <v/>
      </c>
      <c r="X157" s="160">
        <v>50</v>
      </c>
      <c r="Y157" s="166" t="s">
        <v>595</v>
      </c>
      <c r="Z157" s="59" t="str">
        <f>IF(OR($M157="",NOT($O157="{array}")),"",IFERROR(MATCH(PARAMETERS!$M157,DEFAULT!$B$5:$CI$5,0),""))</f>
        <v/>
      </c>
      <c r="AA157" s="56" t="str">
        <f t="shared" si="7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IF($AA157="","",IF($B157="I",VLOOKUP($AA157,#REF!,53,0),INDEX(VALUES!$B$1:$BF$1,1,$AA157)))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9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1" t="s">
        <v>596</v>
      </c>
      <c r="N158" s="14" t="s">
        <v>597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IF(IFERROR(VLOOKUP($M158,#REF!,1,0),"-")="-","","GS")</f>
        <v/>
      </c>
      <c r="Y158" s="53" t="s">
        <v>598</v>
      </c>
      <c r="Z158" s="59" t="str">
        <f>IF(OR($M158="",NOT($O158="{array}")),"",IFERROR(MATCH(PARAMETERS!$M158,DEFAULT!$B$5:$CI$5,0),""))</f>
        <v/>
      </c>
      <c r="AA158" s="56" t="str">
        <f t="shared" si="7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IF($AA158="","",IF($B158="I",VLOOKUP($AA158,#REF!,53,0),INDEX(VALUES!$B$1:$BF$1,1,$AA158)))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9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599</v>
      </c>
      <c r="N159" s="14" t="s">
        <v>600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Y159" s="53" t="s">
        <v>598</v>
      </c>
      <c r="Z159" s="59" t="str">
        <f>IF(OR($M159="",NOT($O159="{array}")),"",IFERROR(MATCH(PARAMETERS!$M159,DEFAULT!$B$5:$CI$5,0),""))</f>
        <v/>
      </c>
      <c r="AA159" s="56" t="str">
        <f t="shared" si="7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IF($AA159="","",IF($B159="I",VLOOKUP($AA159,#REF!,53,0),INDEX(VALUES!$B$1:$BF$1,1,$AA159)))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9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27" t="s">
        <v>938</v>
      </c>
      <c r="N160" s="53" t="s">
        <v>939</v>
      </c>
      <c r="O160" s="155">
        <v>0</v>
      </c>
      <c r="P160" s="53"/>
      <c r="Q160" s="208" t="s">
        <v>9</v>
      </c>
      <c r="R160" s="38" t="s">
        <v>195</v>
      </c>
      <c r="S160" s="38"/>
      <c r="T160" s="38"/>
      <c r="W160" s="15"/>
      <c r="Y160" s="53"/>
      <c r="Z160" s="59" t="str">
        <f>IF(OR($M160="",NOT($O160="{array}")),"",IFERROR(MATCH(PARAMETERS!$M160,DEFAULT!$B$5:$CI$5,0),""))</f>
        <v/>
      </c>
      <c r="AA160" s="56" t="str">
        <f t="shared" si="7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IF($AA160="","",IF($B160="I",VLOOKUP($AA160,#REF!,53,0),INDEX(VALUES!$B$1:$BF$1,1,$AA160)))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9"/>
        <v>160</v>
      </c>
      <c r="D161" s="38"/>
      <c r="E161" s="38"/>
      <c r="F161" s="38"/>
      <c r="G161" s="38"/>
      <c r="H161" s="38"/>
      <c r="I161" s="38" t="s">
        <v>9</v>
      </c>
      <c r="J161" s="38"/>
      <c r="K161" s="159" t="s">
        <v>24</v>
      </c>
      <c r="L161" s="14" t="s">
        <v>27</v>
      </c>
      <c r="M161" s="159" t="s">
        <v>601</v>
      </c>
      <c r="N161" s="159" t="s">
        <v>602</v>
      </c>
      <c r="O161" s="159" t="s">
        <v>33</v>
      </c>
      <c r="P161" s="176"/>
      <c r="Q161" s="178" t="s">
        <v>9</v>
      </c>
      <c r="R161" s="178" t="s">
        <v>103</v>
      </c>
      <c r="S161" s="171"/>
      <c r="T161" s="166"/>
      <c r="U161" s="166"/>
      <c r="V161" s="166"/>
      <c r="W161" s="15"/>
      <c r="X161" s="160"/>
      <c r="Y161" s="166"/>
      <c r="Z161" s="59">
        <f>IF(OR($M161="",NOT($O161="{array}")),"",IFERROR(MATCH(PARAMETERS!$M161,DEFAULT!$B$5:$CI$5,0),""))</f>
        <v>66</v>
      </c>
      <c r="AA161" s="56" t="str">
        <f t="shared" si="7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IF($AA161="","",IF($B161="I",VLOOKUP($AA161,#REF!,53,0),INDEX(VALUES!$B$1:$BF$1,1,$AA161)))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9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53" t="s">
        <v>27</v>
      </c>
      <c r="M162" s="217" t="s">
        <v>899</v>
      </c>
      <c r="N162" s="53" t="s">
        <v>901</v>
      </c>
      <c r="O162" s="155">
        <v>8.0000000000000002E-3</v>
      </c>
      <c r="P162" s="53"/>
      <c r="Q162" s="208"/>
      <c r="R162" s="178" t="s">
        <v>103</v>
      </c>
      <c r="S162" s="171"/>
      <c r="T162" s="166"/>
      <c r="U162" s="166"/>
      <c r="V162" s="166"/>
      <c r="W162" s="15"/>
      <c r="X162" s="160"/>
      <c r="Y162" s="166"/>
      <c r="Z162" s="59" t="str">
        <f>IF(OR($M162="",NOT($O162="{array}")),"",IFERROR(MATCH(PARAMETERS!$M162,DEFAULT!$B$5:$CI$5,0),""))</f>
        <v/>
      </c>
      <c r="AA162" s="56" t="str">
        <f t="shared" si="7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IF($AA162="","",IF($B162="I",VLOOKUP($AA162,#REF!,53,0),INDEX(VALUES!$B$1:$BF$1,1,$AA162)))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9"/>
        <v>162</v>
      </c>
      <c r="D163" s="38"/>
      <c r="E163" s="38"/>
      <c r="F163" s="38"/>
      <c r="G163" s="38"/>
      <c r="H163" s="38"/>
      <c r="I163" s="38" t="s">
        <v>9</v>
      </c>
      <c r="J163" s="38"/>
      <c r="K163" s="166" t="s">
        <v>18</v>
      </c>
      <c r="L163" s="14" t="s">
        <v>27</v>
      </c>
      <c r="M163" s="166" t="s">
        <v>603</v>
      </c>
      <c r="N163" s="166" t="s">
        <v>264</v>
      </c>
      <c r="O163" s="166" t="s">
        <v>264</v>
      </c>
      <c r="P163" s="160" t="s">
        <v>264</v>
      </c>
      <c r="Q163" s="170" t="s">
        <v>9</v>
      </c>
      <c r="R163" s="171" t="s">
        <v>103</v>
      </c>
      <c r="S163" s="171" t="s">
        <v>112</v>
      </c>
      <c r="T163" s="166" t="s">
        <v>264</v>
      </c>
      <c r="U163" s="166" t="s">
        <v>264</v>
      </c>
      <c r="V163" s="166" t="s">
        <v>603</v>
      </c>
      <c r="W163" s="15" t="str">
        <f>IF(IFERROR(VLOOKUP($M163,#REF!,1,0),"-")="-","","GS")</f>
        <v/>
      </c>
      <c r="X163" s="160">
        <v>55</v>
      </c>
      <c r="Y163" s="166" t="s">
        <v>604</v>
      </c>
      <c r="Z163" s="59" t="str">
        <f>IF(OR($M163="",NOT($O163="{array}")),"",IFERROR(MATCH(PARAMETERS!$M163,DEFAULT!$B$5:$CI$5,0),""))</f>
        <v/>
      </c>
      <c r="AA163" s="56" t="str">
        <f t="shared" si="7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IF($AA163="","",IF($B163="I",VLOOKUP($AA163,#REF!,53,0),INDEX(VALUES!$B$1:$BF$1,1,$AA163)))</f>
        <v/>
      </c>
    </row>
    <row r="164" spans="1:29" hidden="1" outlineLevel="1" x14ac:dyDescent="0.3">
      <c r="A164" s="22" t="s">
        <v>84</v>
      </c>
      <c r="B164" s="41" t="str">
        <f t="shared" ref="B164:B180" si="10">IF($A164="P",IF(NOT($Z164=""),"A",IF(NOT($AA164=""),"I","")),IF(NOT($AA164=""),IF($A164="G","V","X"),IF(NOT($Z164=""),"A","")))</f>
        <v/>
      </c>
      <c r="C164" s="42">
        <f t="shared" si="9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605</v>
      </c>
      <c r="N164" s="14" t="s">
        <v>606</v>
      </c>
      <c r="O164" s="43">
        <v>1</v>
      </c>
      <c r="R164" s="38" t="s">
        <v>104</v>
      </c>
      <c r="S164" s="38"/>
      <c r="T164" s="38"/>
      <c r="W164" s="15" t="str">
        <f>IF(IFERROR(VLOOKUP($M164,#REF!,1,0),"-")="-","","GS")</f>
        <v/>
      </c>
      <c r="Z164" s="59" t="str">
        <f>IF(OR($M164="",NOT($O164="{array}")),"",IFERROR(MATCH(PARAMETERS!$M164,DEFAULT!$B$5:$CI$5,0),""))</f>
        <v/>
      </c>
      <c r="AA164" s="56" t="str">
        <f t="shared" si="7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IF($AA164="","",IF($B164="I",VLOOKUP($AA164,#REF!,53,0),INDEX(VALUES!$B$1:$BF$1,1,$AA164)))</f>
        <v/>
      </c>
    </row>
    <row r="165" spans="1:29" hidden="1" outlineLevel="1" x14ac:dyDescent="0.3">
      <c r="A165" s="22" t="s">
        <v>84</v>
      </c>
      <c r="B165" s="41" t="str">
        <f t="shared" si="10"/>
        <v/>
      </c>
      <c r="C165" s="42">
        <f t="shared" si="9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607</v>
      </c>
      <c r="N165" s="14" t="s">
        <v>608</v>
      </c>
      <c r="O165" s="43">
        <v>0.05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IF(OR($M165="",NOT($O165="{array}")),"",IFERROR(MATCH(PARAMETERS!$M165,DEFAULT!$B$5:$CI$5,0),""))</f>
        <v/>
      </c>
      <c r="AA165" s="56" t="str">
        <f t="shared" si="7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IF($AA165="","",IF($B165="I",VLOOKUP($AA165,#REF!,53,0),INDEX(VALUES!$B$1:$BF$1,1,$AA165)))</f>
        <v/>
      </c>
    </row>
    <row r="166" spans="1:29" hidden="1" outlineLevel="1" x14ac:dyDescent="0.3">
      <c r="A166" s="22" t="s">
        <v>84</v>
      </c>
      <c r="B166" s="41" t="str">
        <f t="shared" si="10"/>
        <v/>
      </c>
      <c r="C166" s="42">
        <f t="shared" si="9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609</v>
      </c>
      <c r="N166" s="14" t="s">
        <v>610</v>
      </c>
      <c r="O166" s="43">
        <v>0.06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IF(OR($M166="",NOT($O166="{array}")),"",IFERROR(MATCH(PARAMETERS!$M166,DEFAULT!$B$5:$CI$5,0),""))</f>
        <v/>
      </c>
      <c r="AA166" s="56" t="str">
        <f t="shared" si="7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IF($AA166="","",IF($B166="I",VLOOKUP($AA166,#REF!,53,0),INDEX(VALUES!$B$1:$BF$1,1,$AA166)))</f>
        <v/>
      </c>
    </row>
    <row r="167" spans="1:29" hidden="1" outlineLevel="1" x14ac:dyDescent="0.3">
      <c r="A167" s="22" t="s">
        <v>84</v>
      </c>
      <c r="B167" s="41" t="str">
        <f t="shared" si="10"/>
        <v/>
      </c>
      <c r="C167" s="42">
        <f t="shared" si="9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611</v>
      </c>
      <c r="N167" s="14" t="s">
        <v>612</v>
      </c>
      <c r="O167" s="43">
        <v>0.01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IF(OR($M167="",NOT($O167="{array}")),"",IFERROR(MATCH(PARAMETERS!$M167,DEFAULT!$B$5:$CI$5,0),""))</f>
        <v/>
      </c>
      <c r="AA167" s="56" t="str">
        <f t="shared" si="7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IF($AA167="","",IF($B167="I",VLOOKUP($AA167,#REF!,53,0),INDEX(VALUES!$B$1:$BF$1,1,$AA167)))</f>
        <v/>
      </c>
    </row>
    <row r="168" spans="1:29" hidden="1" outlineLevel="1" x14ac:dyDescent="0.3">
      <c r="A168" s="22" t="s">
        <v>84</v>
      </c>
      <c r="B168" s="41" t="str">
        <f t="shared" si="10"/>
        <v/>
      </c>
      <c r="C168" s="42">
        <f t="shared" si="9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613</v>
      </c>
      <c r="N168" s="14" t="s">
        <v>614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IF(OR($M168="",NOT($O168="{array}")),"",IFERROR(MATCH(PARAMETERS!$M168,DEFAULT!$B$5:$CI$5,0),""))</f>
        <v/>
      </c>
      <c r="AA168" s="56" t="str">
        <f t="shared" si="7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IF($AA168="","",IF($B168="I",VLOOKUP($AA168,#REF!,53,0),INDEX(VALUES!$B$1:$BF$1,1,$AA168)))</f>
        <v/>
      </c>
    </row>
    <row r="169" spans="1:29" hidden="1" outlineLevel="1" x14ac:dyDescent="0.3">
      <c r="A169" s="22" t="s">
        <v>84</v>
      </c>
      <c r="B169" s="41" t="str">
        <f t="shared" si="10"/>
        <v/>
      </c>
      <c r="C169" s="42">
        <f t="shared" si="9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615</v>
      </c>
      <c r="N169" s="14" t="s">
        <v>616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IF(OR($M169="",NOT($O169="{array}")),"",IFERROR(MATCH(PARAMETERS!$M169,DEFAULT!$B$5:$CI$5,0),""))</f>
        <v/>
      </c>
      <c r="AA169" s="56" t="str">
        <f t="shared" si="7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IF($AA169="","",IF($B169="I",VLOOKUP($AA169,#REF!,53,0),INDEX(VALUES!$B$1:$BF$1,1,$AA169)))</f>
        <v/>
      </c>
    </row>
    <row r="170" spans="1:29" hidden="1" outlineLevel="1" x14ac:dyDescent="0.3">
      <c r="A170" s="22" t="s">
        <v>84</v>
      </c>
      <c r="B170" s="41" t="str">
        <f t="shared" si="10"/>
        <v/>
      </c>
      <c r="C170" s="42">
        <f t="shared" si="9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617</v>
      </c>
      <c r="N170" s="14" t="s">
        <v>618</v>
      </c>
      <c r="O170" s="43">
        <v>133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IF(OR($M170="",NOT($O170="{array}")),"",IFERROR(MATCH(PARAMETERS!$M170,DEFAULT!$B$5:$CI$5,0),""))</f>
        <v/>
      </c>
      <c r="AA170" s="56" t="str">
        <f t="shared" si="7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IF($AA170="","",IF($B170="I",VLOOKUP($AA170,#REF!,53,0),INDEX(VALUES!$B$1:$BF$1,1,$AA170)))</f>
        <v/>
      </c>
    </row>
    <row r="171" spans="1:29" hidden="1" outlineLevel="1" x14ac:dyDescent="0.25">
      <c r="A171" s="22" t="s">
        <v>84</v>
      </c>
      <c r="B171" s="41" t="str">
        <f t="shared" si="10"/>
        <v/>
      </c>
      <c r="C171" s="42">
        <f t="shared" si="9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27" t="s">
        <v>903</v>
      </c>
      <c r="N171" s="53" t="s">
        <v>904</v>
      </c>
      <c r="O171" s="155">
        <v>0.15</v>
      </c>
      <c r="P171" s="53"/>
      <c r="Q171" s="208" t="s">
        <v>9</v>
      </c>
      <c r="R171" s="208" t="s">
        <v>103</v>
      </c>
      <c r="S171" s="171"/>
      <c r="T171" s="170"/>
      <c r="U171" s="166"/>
      <c r="V171" s="166"/>
      <c r="W171" s="15"/>
      <c r="X171" s="160"/>
      <c r="Y171" s="166"/>
      <c r="Z171" s="59" t="str">
        <f>IF(OR($M171="",NOT($O171="{array}")),"",IFERROR(MATCH(PARAMETERS!$M171,DEFAULT!$B$5:$CI$5,0),""))</f>
        <v/>
      </c>
      <c r="AA171" s="56" t="str">
        <f t="shared" si="7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IF($AA171="","",IF($B171="I",VLOOKUP($AA171,#REF!,53,0),INDEX(VALUES!$B$1:$BF$1,1,$AA171)))</f>
        <v/>
      </c>
    </row>
    <row r="172" spans="1:29" hidden="1" outlineLevel="1" x14ac:dyDescent="0.25">
      <c r="A172" s="22" t="s">
        <v>84</v>
      </c>
      <c r="B172" s="41" t="str">
        <f t="shared" si="10"/>
        <v/>
      </c>
      <c r="C172" s="42">
        <f t="shared" si="9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27" t="s">
        <v>905</v>
      </c>
      <c r="N172" s="53" t="s">
        <v>906</v>
      </c>
      <c r="O172" s="155">
        <v>1</v>
      </c>
      <c r="P172" s="53"/>
      <c r="Q172" s="208"/>
      <c r="R172" s="208" t="s">
        <v>103</v>
      </c>
      <c r="S172" s="171"/>
      <c r="T172" s="170"/>
      <c r="U172" s="166"/>
      <c r="V172" s="166"/>
      <c r="W172" s="15"/>
      <c r="X172" s="160"/>
      <c r="Y172" s="166"/>
      <c r="Z172" s="59" t="str">
        <f>IF(OR($M172="",NOT($O172="{array}")),"",IFERROR(MATCH(PARAMETERS!$M172,DEFAULT!$B$5:$CI$5,0),""))</f>
        <v/>
      </c>
      <c r="AA172" s="56" t="str">
        <f t="shared" si="7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IF($AA172="","",IF($B172="I",VLOOKUP($AA172,#REF!,53,0),INDEX(VALUES!$B$1:$BF$1,1,$AA172)))</f>
        <v/>
      </c>
    </row>
    <row r="173" spans="1:29" hidden="1" outlineLevel="1" x14ac:dyDescent="0.25">
      <c r="A173" s="22" t="s">
        <v>84</v>
      </c>
      <c r="B173" s="41" t="str">
        <f t="shared" si="10"/>
        <v/>
      </c>
      <c r="C173" s="42">
        <f t="shared" si="9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27" t="s">
        <v>907</v>
      </c>
      <c r="N173" s="53" t="s">
        <v>908</v>
      </c>
      <c r="O173" s="155">
        <v>0</v>
      </c>
      <c r="P173" s="53"/>
      <c r="Q173" s="208" t="s">
        <v>9</v>
      </c>
      <c r="R173" s="208" t="s">
        <v>103</v>
      </c>
      <c r="S173" s="171"/>
      <c r="T173" s="170"/>
      <c r="U173" s="166"/>
      <c r="V173" s="166"/>
      <c r="W173" s="15"/>
      <c r="X173" s="160"/>
      <c r="Y173" s="166"/>
      <c r="Z173" s="59" t="str">
        <f>IF(OR($M173="",NOT($O173="{array}")),"",IFERROR(MATCH(PARAMETERS!$M173,DEFAULT!$B$5:$CI$5,0),""))</f>
        <v/>
      </c>
      <c r="AA173" s="56" t="str">
        <f t="shared" si="7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IF($AA173="","",IF($B173="I",VLOOKUP($AA173,#REF!,53,0),INDEX(VALUES!$B$1:$BF$1,1,$AA173)))</f>
        <v/>
      </c>
    </row>
    <row r="174" spans="1:29" hidden="1" outlineLevel="1" x14ac:dyDescent="0.25">
      <c r="A174" s="22" t="s">
        <v>84</v>
      </c>
      <c r="B174" s="41" t="str">
        <f t="shared" si="10"/>
        <v/>
      </c>
      <c r="C174" s="42">
        <f t="shared" si="9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27" t="s">
        <v>909</v>
      </c>
      <c r="N174" s="53" t="s">
        <v>910</v>
      </c>
      <c r="O174" s="155">
        <v>5.0000000000000001E-3</v>
      </c>
      <c r="P174" s="53"/>
      <c r="Q174" s="208" t="s">
        <v>9</v>
      </c>
      <c r="R174" s="208" t="s">
        <v>103</v>
      </c>
      <c r="S174" s="171"/>
      <c r="T174" s="170"/>
      <c r="U174" s="166"/>
      <c r="V174" s="166"/>
      <c r="W174" s="15"/>
      <c r="X174" s="160"/>
      <c r="Y174" s="166"/>
      <c r="Z174" s="59" t="str">
        <f>IF(OR($M174="",NOT($O174="{array}")),"",IFERROR(MATCH(PARAMETERS!$M174,DEFAULT!$B$5:$CI$5,0),""))</f>
        <v/>
      </c>
      <c r="AA174" s="56" t="str">
        <f t="shared" si="7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IF($AA174="","",IF($B174="I",VLOOKUP($AA174,#REF!,53,0),INDEX(VALUES!$B$1:$BF$1,1,$AA174)))</f>
        <v/>
      </c>
    </row>
    <row r="175" spans="1:29" hidden="1" outlineLevel="1" x14ac:dyDescent="0.25">
      <c r="A175" s="22" t="s">
        <v>84</v>
      </c>
      <c r="B175" s="41" t="str">
        <f t="shared" si="10"/>
        <v/>
      </c>
      <c r="C175" s="42">
        <f t="shared" si="9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27" t="s">
        <v>911</v>
      </c>
      <c r="N175" s="53" t="s">
        <v>912</v>
      </c>
      <c r="O175" s="155">
        <v>5.0000000000000001E-3</v>
      </c>
      <c r="P175" s="53"/>
      <c r="Q175" s="208" t="s">
        <v>9</v>
      </c>
      <c r="R175" s="208" t="s">
        <v>103</v>
      </c>
      <c r="S175" s="171"/>
      <c r="T175" s="170"/>
      <c r="U175" s="166"/>
      <c r="V175" s="166"/>
      <c r="W175" s="15"/>
      <c r="X175" s="160"/>
      <c r="Y175" s="166"/>
      <c r="Z175" s="59" t="str">
        <f>IF(OR($M175="",NOT($O175="{array}")),"",IFERROR(MATCH(PARAMETERS!$M175,DEFAULT!$B$5:$CI$5,0),""))</f>
        <v/>
      </c>
      <c r="AA175" s="56" t="str">
        <f t="shared" si="7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IF($AA175="","",IF($B175="I",VLOOKUP($AA175,#REF!,53,0),INDEX(VALUES!$B$1:$BF$1,1,$AA175)))</f>
        <v/>
      </c>
    </row>
    <row r="176" spans="1:29" collapsed="1" x14ac:dyDescent="0.3">
      <c r="A176" s="22" t="s">
        <v>84</v>
      </c>
      <c r="B176" s="41" t="str">
        <f t="shared" si="10"/>
        <v/>
      </c>
      <c r="C176" s="42">
        <f t="shared" ref="C176:C197" si="11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619</v>
      </c>
      <c r="N176" s="41" t="s">
        <v>620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IF(OR($M176="",NOT($O176="{array}")),"",IFERROR(MATCH(PARAMETERS!$M176,DEFAULT!$B$5:$CI$5,0),""))</f>
        <v/>
      </c>
      <c r="AA176" s="56" t="str">
        <f t="shared" si="7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IF($AA176="","",IF($B176="I",VLOOKUP($AA176,#REF!,53,0),INDEX(VALUES!$B$1:$BF$1,1,$AA176)))</f>
        <v/>
      </c>
    </row>
    <row r="177" spans="1:29" hidden="1" outlineLevel="1" x14ac:dyDescent="0.25">
      <c r="A177" s="22" t="s">
        <v>84</v>
      </c>
      <c r="B177" s="41" t="str">
        <f t="shared" si="10"/>
        <v/>
      </c>
      <c r="C177" s="42">
        <f t="shared" si="11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7" t="s">
        <v>621</v>
      </c>
      <c r="N177" s="53" t="s">
        <v>620</v>
      </c>
      <c r="O177" s="155" t="s">
        <v>771</v>
      </c>
      <c r="R177" s="171" t="s">
        <v>103</v>
      </c>
      <c r="S177" s="171" t="s">
        <v>112</v>
      </c>
      <c r="T177" s="166" t="s">
        <v>264</v>
      </c>
      <c r="U177" s="166" t="s">
        <v>264</v>
      </c>
      <c r="V177" s="166" t="s">
        <v>622</v>
      </c>
      <c r="W177" s="15" t="str">
        <f>IF(IFERROR(VLOOKUP(#REF!,#REF!,1,0),"-")="-","","GS")</f>
        <v/>
      </c>
      <c r="X177" s="160" t="s">
        <v>264</v>
      </c>
      <c r="Y177" s="166" t="s">
        <v>623</v>
      </c>
      <c r="Z177" s="59" t="str">
        <f>IF(OR($M177="",NOT($O177="{array}")),"",IFERROR(MATCH(PARAMETERS!$M177,DEFAULT!$B$5:$CI$5,0),""))</f>
        <v/>
      </c>
      <c r="AA177" s="56" t="str">
        <f t="shared" si="7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IF($AA177="","",IF($B177="I",VLOOKUP($AA177,#REF!,53,0),INDEX(VALUES!$B$1:$BF$1,1,$AA177)))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1"/>
        <v>177</v>
      </c>
      <c r="D178" s="38"/>
      <c r="E178" s="38"/>
      <c r="F178" s="38"/>
      <c r="G178" s="38"/>
      <c r="H178" s="38"/>
      <c r="I178" s="38" t="s">
        <v>9</v>
      </c>
      <c r="J178" s="38"/>
      <c r="K178" s="159" t="s">
        <v>44</v>
      </c>
      <c r="L178" s="53" t="s">
        <v>27</v>
      </c>
      <c r="M178" s="157" t="s">
        <v>773</v>
      </c>
      <c r="N178" s="53" t="s">
        <v>772</v>
      </c>
      <c r="O178" s="155">
        <v>0</v>
      </c>
      <c r="P178" s="53"/>
      <c r="Q178" s="208"/>
      <c r="R178" s="178" t="s">
        <v>103</v>
      </c>
      <c r="S178" s="171"/>
      <c r="T178" s="166"/>
      <c r="U178" s="166"/>
      <c r="V178" s="166"/>
      <c r="W178" s="15"/>
      <c r="X178" s="160"/>
      <c r="Y178" s="166"/>
      <c r="Z178" s="59" t="str">
        <f>IF(OR($M178="",NOT($O178="{array}")),"",IFERROR(MATCH(PARAMETERS!$M178,DEFAULT!$B$5:$CI$5,0),""))</f>
        <v/>
      </c>
      <c r="AA178" s="56" t="str">
        <f t="shared" si="7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IF($AA178="","",IF($B178="I",VLOOKUP($AA178,#REF!,53,0),INDEX(VALUES!$B$1:$BF$1,1,$AA178)))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1"/>
        <v>178</v>
      </c>
      <c r="D179" s="38"/>
      <c r="E179" s="38"/>
      <c r="F179" s="38"/>
      <c r="G179" s="38"/>
      <c r="H179" s="38"/>
      <c r="I179" s="38" t="s">
        <v>9</v>
      </c>
      <c r="J179" s="38"/>
      <c r="K179" s="166" t="s">
        <v>18</v>
      </c>
      <c r="L179" s="167" t="s">
        <v>32</v>
      </c>
      <c r="M179" s="175" t="s">
        <v>996</v>
      </c>
      <c r="N179" s="166" t="s">
        <v>997</v>
      </c>
      <c r="O179" s="166" t="s">
        <v>998</v>
      </c>
      <c r="P179" s="160" t="s">
        <v>264</v>
      </c>
      <c r="Q179" s="171"/>
      <c r="R179" s="171" t="s">
        <v>103</v>
      </c>
      <c r="S179" s="171" t="s">
        <v>112</v>
      </c>
      <c r="T179" s="166" t="s">
        <v>102</v>
      </c>
      <c r="U179" s="166" t="s">
        <v>264</v>
      </c>
      <c r="V179" s="166" t="s">
        <v>997</v>
      </c>
      <c r="W179" s="15"/>
      <c r="X179" s="160"/>
      <c r="Y179" s="166"/>
      <c r="Z179" s="59" t="str">
        <f>IF(OR($M179="",NOT($O179="{array}")),"",IFERROR(MATCH(PARAMETERS!$M179,DEFAULT!$B$5:$CI$5,0),""))</f>
        <v/>
      </c>
      <c r="AA179" s="56" t="str">
        <f t="shared" si="7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IF($AA179="","",IF($B179="I",VLOOKUP($AA179,#REF!,53,0),INDEX(VALUES!$B$1:$BF$1,1,$AA179)))</f>
        <v/>
      </c>
    </row>
    <row r="180" spans="1:29" collapsed="1" x14ac:dyDescent="0.3">
      <c r="A180" s="22" t="s">
        <v>84</v>
      </c>
      <c r="B180" s="41" t="str">
        <f t="shared" si="10"/>
        <v/>
      </c>
      <c r="C180" s="42">
        <f t="shared" si="11"/>
        <v>179</v>
      </c>
      <c r="D180" s="38"/>
      <c r="E180" s="38"/>
      <c r="F180" s="38" t="s">
        <v>9</v>
      </c>
      <c r="G180" s="38"/>
      <c r="H180" s="38"/>
      <c r="I180" s="38"/>
      <c r="J180" s="38"/>
      <c r="K180" s="14" t="s">
        <v>57</v>
      </c>
      <c r="L180" s="14" t="s">
        <v>38</v>
      </c>
      <c r="M180" s="48" t="s">
        <v>647</v>
      </c>
      <c r="N180" s="41" t="s">
        <v>777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IF(OR($M180="",NOT($O180="{array}")),"",IFERROR(MATCH(PARAMETERS!$M180,DEFAULT!$B$5:$CI$5,0),""))</f>
        <v/>
      </c>
      <c r="AA180" s="56" t="str">
        <f t="shared" ref="AA180:AA243" si="12">IF($M180="","",IFERROR(MATCH($M180,VALUESnames,0),""))</f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IF($AA180="","",IF($B180="I",VLOOKUP($AA180,#REF!,53,0),INDEX(VALUES!$B$1:$BF$1,1,$AA180)))</f>
        <v/>
      </c>
    </row>
    <row r="181" spans="1:29" hidden="1" outlineLevel="1" x14ac:dyDescent="0.3">
      <c r="A181" s="22" t="s">
        <v>84</v>
      </c>
      <c r="B181" s="41" t="str">
        <f t="shared" ref="B181:B200" si="13">IF($A181="P",IF(NOT($Z181=""),"A",IF(NOT($AA181=""),"I","")),IF(NOT($AA181=""),IF($A181="G","V","X"),IF(NOT($Z181=""),"A","")))</f>
        <v/>
      </c>
      <c r="C181" s="42">
        <f t="shared" si="11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0" t="s">
        <v>624</v>
      </c>
      <c r="N181" s="14" t="s">
        <v>625</v>
      </c>
      <c r="O181" s="43">
        <v>0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IF(OR($M181="",NOT($O181="{array}")),"",IFERROR(MATCH(PARAMETERS!$M181,DEFAULT!$B$5:$CI$5,0),""))</f>
        <v/>
      </c>
      <c r="AA181" s="56" t="str">
        <f t="shared" si="12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IF($AA181="","",IF($B181="I",VLOOKUP($AA181,#REF!,53,0),INDEX(VALUES!$B$1:$BF$1,1,$AA181)))</f>
        <v/>
      </c>
    </row>
    <row r="182" spans="1:29" hidden="1" outlineLevel="1" x14ac:dyDescent="0.3">
      <c r="A182" s="22" t="s">
        <v>84</v>
      </c>
      <c r="B182" s="41" t="str">
        <f t="shared" si="13"/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626</v>
      </c>
      <c r="N182" s="14" t="s">
        <v>627</v>
      </c>
      <c r="O182" s="43">
        <v>0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IF(OR($M182="",NOT($O182="{array}")),"",IFERROR(MATCH(PARAMETERS!$M182,DEFAULT!$B$5:$CI$5,0),""))</f>
        <v/>
      </c>
      <c r="AA182" s="56" t="str">
        <f t="shared" si="12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IF($AA182="","",IF($B182="I",VLOOKUP($AA182,#REF!,53,0),INDEX(VALUES!$B$1:$BF$1,1,$AA182)))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628</v>
      </c>
      <c r="N183" s="14" t="s">
        <v>629</v>
      </c>
      <c r="O183" s="43">
        <v>1</v>
      </c>
      <c r="Q183" s="38" t="s">
        <v>9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IF(OR($M183="",NOT($O183="{array}")),"",IFERROR(MATCH(PARAMETERS!$M183,DEFAULT!$B$5:$CI$5,0),""))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IF($AA183="","",IF($B183="I",VLOOKUP($AA183,#REF!,53,0),INDEX(VALUES!$B$1:$BF$1,1,$AA183)))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0" t="s">
        <v>630</v>
      </c>
      <c r="N184" s="14" t="s">
        <v>631</v>
      </c>
      <c r="O184" s="43">
        <v>1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IF(OR($M184="",NOT($O184="{array}")),"",IFERROR(MATCH(PARAMETERS!$M184,DEFAULT!$B$5:$CI$5,0),""))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IF($AA184="","",IF($B184="I",VLOOKUP($AA184,#REF!,53,0),INDEX(VALUES!$B$1:$BF$1,1,$AA184)))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1"/>
        <v>184</v>
      </c>
      <c r="D185" s="38"/>
      <c r="E185" s="38"/>
      <c r="F185" s="38"/>
      <c r="G185" s="38"/>
      <c r="H185" s="38"/>
      <c r="I185" s="38" t="s">
        <v>9</v>
      </c>
      <c r="J185" s="38"/>
      <c r="K185" s="159" t="s">
        <v>24</v>
      </c>
      <c r="L185" s="14" t="s">
        <v>27</v>
      </c>
      <c r="M185" s="175" t="s">
        <v>856</v>
      </c>
      <c r="N185" s="159" t="s">
        <v>857</v>
      </c>
      <c r="O185" s="159">
        <v>0.75</v>
      </c>
      <c r="P185" s="176"/>
      <c r="Q185" s="178" t="s">
        <v>9</v>
      </c>
      <c r="R185" s="178" t="s">
        <v>195</v>
      </c>
      <c r="S185" s="171"/>
      <c r="T185" s="166"/>
      <c r="U185" s="166"/>
      <c r="V185" s="166"/>
      <c r="W185" s="15"/>
      <c r="X185" s="160"/>
      <c r="Y185" s="166"/>
      <c r="Z185" s="59" t="str">
        <f>IF(OR($M185="",NOT($O185="{array}")),"",IFERROR(MATCH(PARAMETERS!$M185,DEFAULT!$B$5:$CI$5,0),""))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IF($AA185="","",IF($B185="I",VLOOKUP($AA185,#REF!,53,0),INDEX(VALUES!$B$1:$BF$1,1,$AA185)))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59" t="s">
        <v>24</v>
      </c>
      <c r="L186" s="14" t="s">
        <v>27</v>
      </c>
      <c r="M186" s="175" t="s">
        <v>858</v>
      </c>
      <c r="N186" s="159" t="s">
        <v>859</v>
      </c>
      <c r="O186" s="159">
        <v>1.1499999999999999</v>
      </c>
      <c r="P186" s="176"/>
      <c r="Q186" s="178" t="s">
        <v>9</v>
      </c>
      <c r="R186" s="178" t="s">
        <v>195</v>
      </c>
      <c r="S186" s="171"/>
      <c r="T186" s="166"/>
      <c r="U186" s="166"/>
      <c r="V186" s="166"/>
      <c r="W186" s="15"/>
      <c r="X186" s="160"/>
      <c r="Y186" s="166"/>
      <c r="Z186" s="59" t="str">
        <f>IF(OR($M186="",NOT($O186="{array}")),"",IFERROR(MATCH(PARAMETERS!$M186,DEFAULT!$B$5:$CI$5,0),""))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IF($AA186="","",IF($B186="I",VLOOKUP($AA186,#REF!,53,0),INDEX(VALUES!$B$1:$BF$1,1,$AA186)))</f>
        <v/>
      </c>
    </row>
    <row r="187" spans="1:29" hidden="1" outlineLevel="1" x14ac:dyDescent="0.25">
      <c r="A187" s="22" t="s">
        <v>84</v>
      </c>
      <c r="B187" s="41" t="str">
        <f t="shared" ref="B187:B194" si="14">IF($A187="P",IF(NOT($Z187=""),"A",IF(NOT($AA187=""),"I","")),IF(NOT($AA187=""),IF($A187="G","V","X"),IF(NOT($Z187=""),"A","")))</f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59" t="s">
        <v>44</v>
      </c>
      <c r="L187" s="53" t="s">
        <v>27</v>
      </c>
      <c r="M187" s="157" t="s">
        <v>822</v>
      </c>
      <c r="N187" s="53" t="s">
        <v>825</v>
      </c>
      <c r="O187" s="155">
        <v>1</v>
      </c>
      <c r="P187" s="53"/>
      <c r="Q187" s="208"/>
      <c r="R187" s="178" t="s">
        <v>103</v>
      </c>
      <c r="S187" s="171"/>
      <c r="T187" s="166"/>
      <c r="U187" s="166"/>
      <c r="V187" s="166"/>
      <c r="W187" s="15"/>
      <c r="X187" s="160"/>
      <c r="Y187" s="166"/>
      <c r="Z187" s="59" t="str">
        <f>IF(OR($M187="",NOT($O187="{array}")),"",IFERROR(MATCH(PARAMETERS!$M187,DEFAULT!$B$5:$CI$5,0),""))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IF($AA187="","",IF($B187="I",VLOOKUP($AA187,#REF!,53,0),INDEX(VALUES!$B$1:$BF$1,1,$AA187)))</f>
        <v/>
      </c>
    </row>
    <row r="188" spans="1:29" hidden="1" outlineLevel="1" x14ac:dyDescent="0.25">
      <c r="A188" s="22" t="s">
        <v>84</v>
      </c>
      <c r="B188" s="41" t="str">
        <f t="shared" si="14"/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59" t="s">
        <v>44</v>
      </c>
      <c r="L188" s="53" t="s">
        <v>27</v>
      </c>
      <c r="M188" s="157" t="s">
        <v>832</v>
      </c>
      <c r="N188" s="53" t="s">
        <v>833</v>
      </c>
      <c r="O188" s="155">
        <v>1</v>
      </c>
      <c r="P188" s="53"/>
      <c r="Q188" s="208"/>
      <c r="R188" s="178" t="s">
        <v>103</v>
      </c>
      <c r="S188" s="171"/>
      <c r="T188" s="166"/>
      <c r="U188" s="166"/>
      <c r="V188" s="166"/>
      <c r="W188" s="15"/>
      <c r="X188" s="160"/>
      <c r="Y188" s="166"/>
      <c r="Z188" s="59" t="str">
        <f>IF(OR($M188="",NOT($O188="{array}")),"",IFERROR(MATCH(PARAMETERS!$M188,DEFAULT!$B$5:$CI$5,0),""))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IF($AA188="","",IF($B188="I",VLOOKUP($AA188,#REF!,53,0),INDEX(VALUES!$B$1:$BF$1,1,$AA188)))</f>
        <v/>
      </c>
    </row>
    <row r="189" spans="1:29" hidden="1" outlineLevel="1" x14ac:dyDescent="0.25">
      <c r="A189" s="22" t="s">
        <v>84</v>
      </c>
      <c r="B189" s="41" t="str">
        <f t="shared" si="14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59" t="s">
        <v>24</v>
      </c>
      <c r="L189" s="53" t="s">
        <v>27</v>
      </c>
      <c r="M189" s="217" t="s">
        <v>895</v>
      </c>
      <c r="N189" s="53" t="s">
        <v>896</v>
      </c>
      <c r="O189" s="155">
        <v>0</v>
      </c>
      <c r="P189" s="53"/>
      <c r="Q189" s="208"/>
      <c r="R189" s="178" t="s">
        <v>103</v>
      </c>
      <c r="S189" s="171"/>
      <c r="T189" s="166"/>
      <c r="U189" s="166"/>
      <c r="V189" s="166"/>
      <c r="W189" s="15"/>
      <c r="X189" s="160"/>
      <c r="Y189" s="166"/>
      <c r="Z189" s="59" t="str">
        <f>IF(OR($M189="",NOT($O189="{array}")),"",IFERROR(MATCH(PARAMETERS!$M189,DEFAULT!$B$5:$CI$5,0),""))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IF($AA189="","",IF($B189="I",VLOOKUP($AA189,#REF!,53,0),INDEX(VALUES!$B$1:$BF$1,1,$AA189)))</f>
        <v/>
      </c>
    </row>
    <row r="190" spans="1:29" hidden="1" outlineLevel="1" x14ac:dyDescent="0.25">
      <c r="A190" s="22" t="s">
        <v>84</v>
      </c>
      <c r="B190" s="41" t="str">
        <f t="shared" si="14"/>
        <v/>
      </c>
      <c r="C190" s="42">
        <f t="shared" si="11"/>
        <v>189</v>
      </c>
      <c r="D190" s="38"/>
      <c r="E190" s="38"/>
      <c r="F190" s="38"/>
      <c r="G190" s="38"/>
      <c r="H190" s="38"/>
      <c r="I190" s="38" t="s">
        <v>9</v>
      </c>
      <c r="J190" s="38"/>
      <c r="K190" s="159" t="s">
        <v>24</v>
      </c>
      <c r="L190" s="53" t="s">
        <v>27</v>
      </c>
      <c r="M190" s="217" t="s">
        <v>823</v>
      </c>
      <c r="N190" s="53" t="s">
        <v>824</v>
      </c>
      <c r="O190" s="155">
        <v>4.0000000000000001E-3</v>
      </c>
      <c r="P190" s="53"/>
      <c r="Q190" s="208"/>
      <c r="R190" s="178" t="s">
        <v>103</v>
      </c>
      <c r="S190" s="171"/>
      <c r="T190" s="166"/>
      <c r="U190" s="166"/>
      <c r="V190" s="166"/>
      <c r="W190" s="15"/>
      <c r="X190" s="160"/>
      <c r="Y190" s="166"/>
      <c r="Z190" s="59" t="str">
        <f>IF(OR($M190="",NOT($O190="{array}")),"",IFERROR(MATCH(PARAMETERS!$M190,DEFAULT!$B$5:$CI$5,0),""))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IF($AA190="","",IF($B190="I",VLOOKUP($AA190,#REF!,53,0),INDEX(VALUES!$B$1:$BF$1,1,$AA190)))</f>
        <v/>
      </c>
    </row>
    <row r="191" spans="1:29" hidden="1" outlineLevel="1" x14ac:dyDescent="0.25">
      <c r="A191" s="22" t="s">
        <v>84</v>
      </c>
      <c r="B191" s="41" t="str">
        <f t="shared" si="14"/>
        <v/>
      </c>
      <c r="C191" s="42">
        <f t="shared" si="11"/>
        <v>190</v>
      </c>
      <c r="D191" s="38"/>
      <c r="E191" s="38"/>
      <c r="F191" s="38"/>
      <c r="G191" s="38"/>
      <c r="H191" s="38"/>
      <c r="I191" s="38" t="s">
        <v>9</v>
      </c>
      <c r="J191" s="38"/>
      <c r="K191" s="159" t="s">
        <v>24</v>
      </c>
      <c r="L191" s="53" t="s">
        <v>27</v>
      </c>
      <c r="M191" s="217" t="s">
        <v>826</v>
      </c>
      <c r="N191" s="53" t="s">
        <v>827</v>
      </c>
      <c r="O191" s="155">
        <v>6.0000000000000001E-3</v>
      </c>
      <c r="P191" s="53"/>
      <c r="Q191" s="208"/>
      <c r="R191" s="178" t="s">
        <v>103</v>
      </c>
      <c r="S191" s="171"/>
      <c r="T191" s="166"/>
      <c r="U191" s="166"/>
      <c r="V191" s="166"/>
      <c r="W191" s="15"/>
      <c r="X191" s="160"/>
      <c r="Y191" s="166"/>
      <c r="Z191" s="59" t="str">
        <f>IF(OR($M191="",NOT($O191="{array}")),"",IFERROR(MATCH(PARAMETERS!$M191,DEFAULT!$B$5:$CI$5,0),""))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IF($AA191="","",IF($B191="I",VLOOKUP($AA191,#REF!,53,0),INDEX(VALUES!$B$1:$BF$1,1,$AA191)))</f>
        <v/>
      </c>
    </row>
    <row r="192" spans="1:29" hidden="1" outlineLevel="1" x14ac:dyDescent="0.25">
      <c r="A192" s="22" t="s">
        <v>84</v>
      </c>
      <c r="B192" s="41" t="str">
        <f t="shared" si="14"/>
        <v/>
      </c>
      <c r="C192" s="42">
        <f t="shared" si="11"/>
        <v>191</v>
      </c>
      <c r="D192" s="38"/>
      <c r="E192" s="38"/>
      <c r="F192" s="38"/>
      <c r="G192" s="38"/>
      <c r="H192" s="38"/>
      <c r="I192" s="38" t="s">
        <v>9</v>
      </c>
      <c r="J192" s="38"/>
      <c r="K192" s="159" t="s">
        <v>47</v>
      </c>
      <c r="L192" s="53" t="s">
        <v>27</v>
      </c>
      <c r="M192" s="217" t="s">
        <v>897</v>
      </c>
      <c r="N192" s="53" t="s">
        <v>898</v>
      </c>
      <c r="O192" s="155">
        <v>1</v>
      </c>
      <c r="P192" s="53"/>
      <c r="Q192" s="208"/>
      <c r="R192" s="178" t="s">
        <v>103</v>
      </c>
      <c r="S192" s="171"/>
      <c r="T192" s="166"/>
      <c r="U192" s="166"/>
      <c r="V192" s="166"/>
      <c r="W192" s="15"/>
      <c r="X192" s="160"/>
      <c r="Y192" s="166"/>
      <c r="Z192" s="59" t="str">
        <f>IF(OR($M192="",NOT($O192="{array}")),"",IFERROR(MATCH(PARAMETERS!$M192,DEFAULT!$B$5:$CI$5,0),""))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IF($AA192="","",IF($B192="I",VLOOKUP($AA192,#REF!,53,0),INDEX(VALUES!$B$1:$BF$1,1,$AA192)))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1"/>
        <v>192</v>
      </c>
      <c r="D193" s="38"/>
      <c r="E193" s="38"/>
      <c r="F193" s="38"/>
      <c r="G193" s="38"/>
      <c r="H193" s="38"/>
      <c r="I193" s="38" t="s">
        <v>9</v>
      </c>
      <c r="J193" s="38"/>
      <c r="K193" s="159" t="s">
        <v>24</v>
      </c>
      <c r="L193" s="53" t="s">
        <v>27</v>
      </c>
      <c r="M193" s="217" t="s">
        <v>900</v>
      </c>
      <c r="N193" s="53" t="s">
        <v>902</v>
      </c>
      <c r="O193" s="155">
        <v>2E-3</v>
      </c>
      <c r="P193" s="53"/>
      <c r="Q193" s="208"/>
      <c r="R193" s="178" t="s">
        <v>103</v>
      </c>
      <c r="S193" s="171"/>
      <c r="T193" s="166"/>
      <c r="U193" s="166"/>
      <c r="V193" s="166"/>
      <c r="W193" s="15"/>
      <c r="X193" s="160"/>
      <c r="Y193" s="166"/>
      <c r="Z193" s="59" t="str">
        <f>IF(OR($M193="",NOT($O193="{array}")),"",IFERROR(MATCH(PARAMETERS!$M193,DEFAULT!$B$5:$CI$5,0),""))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IF($AA193="","",IF($B193="I",VLOOKUP($AA193,#REF!,53,0),INDEX(VALUES!$B$1:$BF$1,1,$AA193)))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1"/>
        <v>193</v>
      </c>
      <c r="D194" s="38"/>
      <c r="E194" s="38"/>
      <c r="F194" s="38" t="s">
        <v>9</v>
      </c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20" t="s">
        <v>638</v>
      </c>
      <c r="N194" s="14" t="s">
        <v>639</v>
      </c>
      <c r="O194" s="43">
        <v>5.0000000000000001E-3</v>
      </c>
      <c r="R194" s="38" t="s">
        <v>104</v>
      </c>
      <c r="S194" s="171" t="s">
        <v>112</v>
      </c>
      <c r="T194" s="166" t="s">
        <v>264</v>
      </c>
      <c r="U194" s="166" t="s">
        <v>264</v>
      </c>
      <c r="V194" s="166" t="s">
        <v>640</v>
      </c>
      <c r="W194" s="15" t="str">
        <f>IF(IFERROR(VLOOKUP($M194,#REF!,1,0),"-")="-","","GS")</f>
        <v/>
      </c>
      <c r="X194" s="160">
        <v>62</v>
      </c>
      <c r="Y194" s="166" t="s">
        <v>641</v>
      </c>
      <c r="Z194" s="59" t="str">
        <f>IF(OR($M194="",NOT($O194="{array}")),"",IFERROR(MATCH(PARAMETERS!$M194,DEFAULT!$B$5:$CI$5,0),""))</f>
        <v/>
      </c>
      <c r="AA194" s="56" t="str">
        <f t="shared" si="12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IF($AA194="","",IF($B194="I",VLOOKUP($AA194,#REF!,53,0),INDEX(VALUES!$B$1:$BF$1,1,$AA194)))</f>
        <v/>
      </c>
    </row>
    <row r="195" spans="1:29" hidden="1" outlineLevel="1" x14ac:dyDescent="0.25">
      <c r="A195" s="22" t="s">
        <v>84</v>
      </c>
      <c r="B195" s="41" t="str">
        <f t="shared" si="13"/>
        <v/>
      </c>
      <c r="C195" s="42">
        <f t="shared" si="11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51" t="s">
        <v>632</v>
      </c>
      <c r="N195" s="14" t="s">
        <v>633</v>
      </c>
      <c r="O195" s="43">
        <v>0.04</v>
      </c>
      <c r="Q195" s="38" t="s">
        <v>9</v>
      </c>
      <c r="R195" s="38" t="s">
        <v>104</v>
      </c>
      <c r="S195" s="171" t="s">
        <v>112</v>
      </c>
      <c r="T195" s="166" t="s">
        <v>264</v>
      </c>
      <c r="U195" s="166" t="s">
        <v>264</v>
      </c>
      <c r="V195" s="166" t="s">
        <v>634</v>
      </c>
      <c r="W195" s="15" t="str">
        <f>IF(IFERROR(VLOOKUP($M195,#REF!,1,0),"-")="-","","GS")</f>
        <v/>
      </c>
      <c r="X195" s="160">
        <v>59</v>
      </c>
      <c r="Y195" s="166" t="s">
        <v>635</v>
      </c>
      <c r="Z195" s="59" t="str">
        <f>IF(OR($M195="",NOT($O195="{array}")),"",IFERROR(MATCH(PARAMETERS!$M195,DEFAULT!$B$5:$CI$5,0),""))</f>
        <v/>
      </c>
      <c r="AA195" s="56" t="str">
        <f t="shared" si="12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IF($AA195="","",IF($B195="I",VLOOKUP($AA195,#REF!,53,0),INDEX(VALUES!$B$1:$BF$1,1,$AA195)))</f>
        <v/>
      </c>
    </row>
    <row r="196" spans="1:29" hidden="1" outlineLevel="1" x14ac:dyDescent="0.3">
      <c r="A196" s="22" t="s">
        <v>84</v>
      </c>
      <c r="B196" s="41" t="str">
        <f t="shared" si="13"/>
        <v>A</v>
      </c>
      <c r="C196" s="42">
        <f t="shared" si="11"/>
        <v>195</v>
      </c>
      <c r="D196" s="38"/>
      <c r="E196" s="38"/>
      <c r="F196" s="38"/>
      <c r="G196" s="38"/>
      <c r="H196" s="38"/>
      <c r="I196" s="38" t="s">
        <v>9</v>
      </c>
      <c r="J196" s="38"/>
      <c r="K196" s="159" t="s">
        <v>24</v>
      </c>
      <c r="L196" s="14" t="s">
        <v>27</v>
      </c>
      <c r="M196" s="175" t="s">
        <v>828</v>
      </c>
      <c r="N196" s="159" t="s">
        <v>834</v>
      </c>
      <c r="O196" s="159" t="s">
        <v>33</v>
      </c>
      <c r="P196" s="176"/>
      <c r="Q196" s="178" t="s">
        <v>9</v>
      </c>
      <c r="R196" s="178" t="s">
        <v>195</v>
      </c>
      <c r="S196" s="171"/>
      <c r="T196" s="166"/>
      <c r="U196" s="166"/>
      <c r="V196" s="166"/>
      <c r="W196" s="15"/>
      <c r="X196" s="160"/>
      <c r="Y196" s="166"/>
      <c r="Z196" s="59">
        <f>IF(OR($M196="",NOT($O196="{array}")),"",IFERROR(MATCH(PARAMETERS!$M196,DEFAULT!$B$5:$CI$5,0),""))</f>
        <v>69</v>
      </c>
      <c r="AA196" s="56" t="str">
        <f t="shared" si="12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IF($AA196="","",IF($B196="I",VLOOKUP($AA196,#REF!,53,0),INDEX(VALUES!$B$1:$BF$1,1,$AA196)))</f>
        <v/>
      </c>
    </row>
    <row r="197" spans="1:29" hidden="1" outlineLevel="1" x14ac:dyDescent="0.3">
      <c r="A197" s="22" t="s">
        <v>84</v>
      </c>
      <c r="B197" s="41" t="str">
        <f t="shared" si="13"/>
        <v/>
      </c>
      <c r="C197" s="42">
        <f t="shared" si="11"/>
        <v>196</v>
      </c>
      <c r="D197" s="38"/>
      <c r="E197" s="38"/>
      <c r="F197" s="38"/>
      <c r="G197" s="38"/>
      <c r="H197" s="38"/>
      <c r="I197" s="38" t="s">
        <v>9</v>
      </c>
      <c r="J197" s="38"/>
      <c r="K197" s="159" t="s">
        <v>24</v>
      </c>
      <c r="L197" s="14" t="s">
        <v>27</v>
      </c>
      <c r="M197" s="175" t="s">
        <v>636</v>
      </c>
      <c r="N197" s="159" t="s">
        <v>637</v>
      </c>
      <c r="O197" s="159">
        <v>0.02</v>
      </c>
      <c r="P197" s="176"/>
      <c r="Q197" s="178" t="s">
        <v>9</v>
      </c>
      <c r="R197" s="178" t="s">
        <v>103</v>
      </c>
      <c r="S197" s="171"/>
      <c r="T197" s="166"/>
      <c r="U197" s="166"/>
      <c r="V197" s="166"/>
      <c r="W197" s="15"/>
      <c r="X197" s="160"/>
      <c r="Y197" s="166"/>
      <c r="Z197" s="59" t="str">
        <f>IF(OR($M197="",NOT($O197="{array}")),"",IFERROR(MATCH(PARAMETERS!$M197,DEFAULT!$B$5:$CI$5,0),""))</f>
        <v/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IF($AA197="","",IF($B197="I",VLOOKUP($AA197,#REF!,53,0),INDEX(VALUES!$B$1:$BF$1,1,$AA197)))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ref="C198:C303" si="15">(ROW()-1)</f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24</v>
      </c>
      <c r="L198" s="14" t="s">
        <v>27</v>
      </c>
      <c r="M198" s="175" t="s">
        <v>818</v>
      </c>
      <c r="N198" s="159" t="s">
        <v>819</v>
      </c>
      <c r="O198" s="159">
        <v>0.01</v>
      </c>
      <c r="P198" s="176"/>
      <c r="Q198" s="178" t="s">
        <v>9</v>
      </c>
      <c r="R198" s="178" t="s">
        <v>103</v>
      </c>
      <c r="S198" s="171"/>
      <c r="T198" s="166"/>
      <c r="U198" s="166"/>
      <c r="V198" s="166"/>
      <c r="W198" s="15"/>
      <c r="X198" s="160"/>
      <c r="Y198" s="166"/>
      <c r="Z198" s="59" t="str">
        <f>IF(OR($M198="",NOT($O198="{array}")),"",IFERROR(MATCH(PARAMETERS!$M198,DEFAULT!$B$5:$CI$5,0),""))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IF($AA198="","",IF($B198="I",VLOOKUP($AA198,#REF!,53,0),INDEX(VALUES!$B$1:$BF$1,1,$AA198)))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si="15"/>
        <v>198</v>
      </c>
      <c r="D199" s="38"/>
      <c r="E199" s="38"/>
      <c r="F199" s="38"/>
      <c r="G199" s="38"/>
      <c r="H199" s="38"/>
      <c r="I199" s="38" t="s">
        <v>9</v>
      </c>
      <c r="J199" s="38"/>
      <c r="K199" s="53" t="s">
        <v>24</v>
      </c>
      <c r="L199" s="53" t="s">
        <v>27</v>
      </c>
      <c r="M199" s="203" t="s">
        <v>642</v>
      </c>
      <c r="N199" s="53" t="s">
        <v>643</v>
      </c>
      <c r="O199" s="155">
        <v>0</v>
      </c>
      <c r="P199" s="53"/>
      <c r="Q199" s="208"/>
      <c r="R199" s="38" t="s">
        <v>195</v>
      </c>
      <c r="S199" s="38"/>
      <c r="T199" s="38"/>
      <c r="W199" s="15" t="str">
        <f>IF(IFERROR(VLOOKUP($M199,#REF!,1,0),"-")="-","","GS")</f>
        <v/>
      </c>
      <c r="Y199" s="53" t="s">
        <v>644</v>
      </c>
      <c r="Z199" s="59" t="str">
        <f>IF(OR($M199="",NOT($O199="{array}")),"",IFERROR(MATCH(PARAMETERS!$M199,DEFAULT!$B$5:$CI$5,0),""))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IF($AA199="","",IF($B199="I",VLOOKUP($AA199,#REF!,53,0),INDEX(VALUES!$B$1:$BF$1,1,$AA199)))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5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3" t="s">
        <v>645</v>
      </c>
      <c r="N200" s="53" t="s">
        <v>646</v>
      </c>
      <c r="O200" s="155">
        <v>0</v>
      </c>
      <c r="P200" s="53"/>
      <c r="Q200" s="208"/>
      <c r="R200" s="38" t="s">
        <v>195</v>
      </c>
      <c r="S200" s="38"/>
      <c r="T200" s="38"/>
      <c r="W200" s="15" t="str">
        <f>IF(IFERROR(VLOOKUP($M200,#REF!,1,0),"-")="-","","GS")</f>
        <v/>
      </c>
      <c r="Y200" s="53" t="s">
        <v>644</v>
      </c>
      <c r="Z200" s="59" t="str">
        <f>IF(OR($M200="",NOT($O200="{array}")),"",IFERROR(MATCH(PARAMETERS!$M200,DEFAULT!$B$5:$CI$5,0),""))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IF($AA200="","",IF($B200="I",VLOOKUP($AA200,#REF!,53,0),INDEX(VALUES!$B$1:$BF$1,1,$AA200)))</f>
        <v/>
      </c>
    </row>
    <row r="201" spans="1:29" hidden="1" outlineLevel="1" x14ac:dyDescent="0.3">
      <c r="A201" s="22" t="s">
        <v>84</v>
      </c>
      <c r="B201" s="41" t="str">
        <f>IF($A201="P",IF(NOT($Z201=""),"A",IF(NOT($AA201=""),"I","")),IF(NOT($AA201=""),IF($A201="G","V","X"),IF(NOT($Z201=""),"A","")))</f>
        <v/>
      </c>
      <c r="C201" s="42">
        <f t="shared" si="15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151" t="s">
        <v>648</v>
      </c>
      <c r="N201" s="14" t="s">
        <v>649</v>
      </c>
      <c r="O201" s="43">
        <v>0.1</v>
      </c>
      <c r="R201" s="38" t="s">
        <v>104</v>
      </c>
      <c r="S201" s="38"/>
      <c r="T201" s="38"/>
      <c r="W201" s="15" t="str">
        <f>IF(IFERROR(VLOOKUP($M201,#REF!,1,0),"-")="-","","GS")</f>
        <v/>
      </c>
      <c r="Z201" s="59" t="str">
        <f>IF(OR($M201="",NOT($O201="{array}")),"",IFERROR(MATCH(PARAMETERS!$M201,DEFAULT!$B$5:$CI$5,0),""))</f>
        <v/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IF($AA201="","",IF($B201="I",VLOOKUP($AA201,#REF!,53,0),INDEX(VALUES!$B$1:$BF$1,1,$AA201)))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5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1" t="s">
        <v>652</v>
      </c>
      <c r="N202" s="14" t="s">
        <v>653</v>
      </c>
      <c r="O202" s="43">
        <v>0.1</v>
      </c>
      <c r="R202" s="38" t="s">
        <v>104</v>
      </c>
      <c r="S202" s="38"/>
      <c r="T202" s="38"/>
      <c r="W202" s="15" t="str">
        <f>IF(IFERROR(VLOOKUP($M202,#REF!,1,0),"-")="-","","GS")</f>
        <v/>
      </c>
      <c r="Z202" s="59" t="str">
        <f>IF(OR($M202="",NOT($O202="{array}")),"",IFERROR(MATCH(PARAMETERS!$M202,DEFAULT!$B$5:$CI$5,0),""))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IF($AA202="","",IF($B202="I",VLOOKUP($AA202,#REF!,53,0),INDEX(VALUES!$B$1:$BF$1,1,$AA202)))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5"/>
        <v>202</v>
      </c>
      <c r="D203" s="38"/>
      <c r="E203" s="38"/>
      <c r="F203" s="38"/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1" t="s">
        <v>650</v>
      </c>
      <c r="N203" s="14" t="s">
        <v>651</v>
      </c>
      <c r="O203" s="43">
        <v>0.1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IF(OR($M203="",NOT($O203="{array}")),"",IFERROR(MATCH(PARAMETERS!$M203,DEFAULT!$B$5:$CI$5,0),""))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IF($AA203="","",IF($B203="I",VLOOKUP($AA203,#REF!,53,0),INDEX(VALUES!$B$1:$BF$1,1,$AA203)))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5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1" t="s">
        <v>654</v>
      </c>
      <c r="N204" s="14" t="s">
        <v>655</v>
      </c>
      <c r="O204" s="43">
        <v>0.1</v>
      </c>
      <c r="R204" s="38" t="s">
        <v>104</v>
      </c>
      <c r="S204" s="38"/>
      <c r="T204" s="38"/>
      <c r="W204" s="15" t="str">
        <f>IF(IFERROR(VLOOKUP($M204,#REF!,1,0),"-")="-","","GS")</f>
        <v/>
      </c>
      <c r="Z204" s="59" t="str">
        <f>IF(OR($M204="",NOT($O204="{array}")),"",IFERROR(MATCH(PARAMETERS!$M204,DEFAULT!$B$5:$CI$5,0),""))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IF($AA204="","",IF($B204="I",VLOOKUP($AA204,#REF!,53,0),INDEX(VALUES!$B$1:$BF$1,1,$AA204)))</f>
        <v/>
      </c>
    </row>
    <row r="205" spans="1:29" collapsed="1" x14ac:dyDescent="0.3">
      <c r="A205" s="22" t="s">
        <v>84</v>
      </c>
      <c r="B205" s="41" t="str">
        <f t="shared" ref="B205:B246" si="16">IF($A205="P",IF(NOT($Z205=""),"A",IF(NOT($AA205=""),"I","")),IF(NOT($AA205=""),IF($A205="G","V","X"),IF(NOT($Z205=""),"A","")))</f>
        <v/>
      </c>
      <c r="C205" s="42">
        <f t="shared" si="15"/>
        <v>204</v>
      </c>
      <c r="D205" s="246"/>
      <c r="E205" s="38"/>
      <c r="F205" s="247" t="s">
        <v>9</v>
      </c>
      <c r="G205" s="208"/>
      <c r="H205" s="38"/>
      <c r="I205" s="38"/>
      <c r="J205" s="38"/>
      <c r="K205" s="248" t="s">
        <v>57</v>
      </c>
      <c r="L205" s="248" t="s">
        <v>38</v>
      </c>
      <c r="M205" s="249" t="s">
        <v>1081</v>
      </c>
      <c r="N205" s="250" t="s">
        <v>1082</v>
      </c>
      <c r="R205" s="38" t="s">
        <v>104</v>
      </c>
      <c r="S205" s="38"/>
      <c r="T205" s="38"/>
      <c r="W205" s="15" t="s">
        <v>104</v>
      </c>
      <c r="X205" s="15" t="s">
        <v>1385</v>
      </c>
      <c r="Z205" s="59" t="str">
        <f>IF(OR($M205="",NOT($O205="{array}")),"",IFERROR(MATCH(PARAMETERS!$M205,DEFAULT!$B$5:$CI$5,0),""))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IF($AA205="","",IF($B205="I",VLOOKUP($AA205,#REF!,53,0),INDEX(VALUES!$B$1:$BF$1,1,$AA205)))</f>
        <v/>
      </c>
    </row>
    <row r="206" spans="1:29" outlineLevel="1" x14ac:dyDescent="0.3">
      <c r="A206" s="22" t="s">
        <v>84</v>
      </c>
      <c r="B206" s="41" t="str">
        <f t="shared" si="16"/>
        <v/>
      </c>
      <c r="C206" s="42">
        <f t="shared" si="15"/>
        <v>205</v>
      </c>
      <c r="D206" s="246" t="s">
        <v>9</v>
      </c>
      <c r="E206" s="38"/>
      <c r="F206" s="247"/>
      <c r="G206" s="208"/>
      <c r="H206" s="38"/>
      <c r="I206" s="38" t="s">
        <v>9</v>
      </c>
      <c r="J206" s="38"/>
      <c r="K206" s="166" t="s">
        <v>18</v>
      </c>
      <c r="L206" s="167" t="s">
        <v>21</v>
      </c>
      <c r="M206" s="251" t="s">
        <v>1083</v>
      </c>
      <c r="N206" s="163" t="s">
        <v>1084</v>
      </c>
      <c r="O206" s="163" t="s">
        <v>1085</v>
      </c>
      <c r="P206" s="160" t="s">
        <v>264</v>
      </c>
      <c r="Q206" s="162" t="s">
        <v>9</v>
      </c>
      <c r="R206" s="162" t="s">
        <v>103</v>
      </c>
      <c r="S206" s="162" t="s">
        <v>112</v>
      </c>
      <c r="T206" s="163" t="s">
        <v>264</v>
      </c>
      <c r="U206" s="166" t="s">
        <v>264</v>
      </c>
      <c r="V206" s="163" t="s">
        <v>1084</v>
      </c>
      <c r="W206" s="15"/>
      <c r="X206" s="15" t="s">
        <v>1385</v>
      </c>
      <c r="Y206" s="166"/>
      <c r="Z206" s="59" t="str">
        <f>IF(OR($M206="",NOT($O206="{array}")),"",IFERROR(MATCH(PARAMETERS!$M206,DEFAULT!$B$5:$CI$5,0),""))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IF($AA206="","",IF($B206="I",VLOOKUP($AA206,#REF!,53,0),INDEX(VALUES!$B$1:$BF$1,1,$AA206)))</f>
        <v/>
      </c>
    </row>
    <row r="207" spans="1:29" outlineLevel="1" x14ac:dyDescent="0.25">
      <c r="A207" s="22" t="s">
        <v>84</v>
      </c>
      <c r="B207" s="41" t="str">
        <f t="shared" si="16"/>
        <v/>
      </c>
      <c r="C207" s="42">
        <f t="shared" si="15"/>
        <v>206</v>
      </c>
      <c r="D207" s="246" t="s">
        <v>9</v>
      </c>
      <c r="E207" s="38"/>
      <c r="F207" s="247" t="s">
        <v>9</v>
      </c>
      <c r="G207" s="208"/>
      <c r="H207" s="38"/>
      <c r="I207" s="38" t="s">
        <v>9</v>
      </c>
      <c r="J207" s="38"/>
      <c r="K207" s="14" t="s">
        <v>18</v>
      </c>
      <c r="L207" s="14" t="s">
        <v>27</v>
      </c>
      <c r="M207" s="20" t="s">
        <v>1086</v>
      </c>
      <c r="N207" s="14" t="s">
        <v>1087</v>
      </c>
      <c r="O207" s="43" t="s">
        <v>1088</v>
      </c>
      <c r="R207" s="38" t="s">
        <v>104</v>
      </c>
      <c r="S207" s="38"/>
      <c r="T207" s="38"/>
      <c r="V207" s="163" t="s">
        <v>1089</v>
      </c>
      <c r="W207" s="15" t="s">
        <v>104</v>
      </c>
      <c r="X207" s="15" t="s">
        <v>1385</v>
      </c>
      <c r="Y207" s="163" t="s">
        <v>1090</v>
      </c>
      <c r="Z207" s="59" t="str">
        <f>IF(OR($M207="",NOT($O207="{array}")),"",IFERROR(MATCH(PARAMETERS!$M207,DEFAULT!$B$5:$CI$5,0),""))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IF($AA207="","",IF($B207="I",VLOOKUP($AA207,#REF!,53,0),INDEX(VALUES!$B$1:$BF$1,1,$AA207)))</f>
        <v/>
      </c>
    </row>
    <row r="208" spans="1:29" outlineLevel="1" x14ac:dyDescent="0.3">
      <c r="A208" s="22" t="s">
        <v>84</v>
      </c>
      <c r="B208" s="41" t="str">
        <f t="shared" si="16"/>
        <v/>
      </c>
      <c r="C208" s="42">
        <f t="shared" si="15"/>
        <v>207</v>
      </c>
      <c r="D208" s="246" t="s">
        <v>9</v>
      </c>
      <c r="E208" s="38"/>
      <c r="F208" s="247"/>
      <c r="G208" s="208"/>
      <c r="H208" s="38"/>
      <c r="I208" s="38" t="s">
        <v>9</v>
      </c>
      <c r="J208" s="38"/>
      <c r="K208" s="166" t="s">
        <v>18</v>
      </c>
      <c r="L208" s="167" t="s">
        <v>21</v>
      </c>
      <c r="M208" s="251" t="s">
        <v>1091</v>
      </c>
      <c r="N208" s="159" t="s">
        <v>1092</v>
      </c>
      <c r="O208" s="43" t="str">
        <f>"8100"</f>
        <v>8100</v>
      </c>
      <c r="P208" s="160" t="s">
        <v>264</v>
      </c>
      <c r="Q208" s="171"/>
      <c r="R208" s="162" t="s">
        <v>103</v>
      </c>
      <c r="S208" s="162" t="s">
        <v>112</v>
      </c>
      <c r="T208" s="163" t="s">
        <v>264</v>
      </c>
      <c r="U208" s="163" t="s">
        <v>264</v>
      </c>
      <c r="V208" s="163" t="s">
        <v>1093</v>
      </c>
      <c r="W208" s="164"/>
      <c r="X208" s="15">
        <v>8100</v>
      </c>
      <c r="Y208" s="163" t="s">
        <v>1094</v>
      </c>
      <c r="Z208" s="59" t="str">
        <f>IF(OR($M208="",NOT($O208="{array}")),"",IFERROR(MATCH(PARAMETERS!$M208,DEFAULT!$B$5:$CI$5,0),""))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IF($AA208="","",IF($B208="I",VLOOKUP($AA208,#REF!,53,0),INDEX(VALUES!$B$1:$BF$1,1,$AA208)))</f>
        <v/>
      </c>
    </row>
    <row r="209" spans="1:29" outlineLevel="1" x14ac:dyDescent="0.3">
      <c r="A209" s="22" t="s">
        <v>84</v>
      </c>
      <c r="B209" s="41" t="str">
        <f t="shared" si="16"/>
        <v/>
      </c>
      <c r="C209" s="42">
        <f t="shared" si="15"/>
        <v>208</v>
      </c>
      <c r="D209" s="246" t="s">
        <v>9</v>
      </c>
      <c r="E209" s="38"/>
      <c r="F209" s="247"/>
      <c r="G209" s="208"/>
      <c r="H209" s="38"/>
      <c r="I209" s="38" t="s">
        <v>9</v>
      </c>
      <c r="J209" s="38"/>
      <c r="K209" s="14" t="s">
        <v>18</v>
      </c>
      <c r="L209" s="14" t="s">
        <v>27</v>
      </c>
      <c r="M209" s="20" t="s">
        <v>1095</v>
      </c>
      <c r="N209" s="14" t="s">
        <v>1096</v>
      </c>
      <c r="R209" s="38" t="s">
        <v>104</v>
      </c>
      <c r="S209" s="38"/>
      <c r="T209" s="38"/>
      <c r="W209" s="15" t="s">
        <v>104</v>
      </c>
      <c r="X209" s="15" t="s">
        <v>1385</v>
      </c>
      <c r="Z209" s="59" t="str">
        <f>IF(OR($M209="",NOT($O209="{array}")),"",IFERROR(MATCH(PARAMETERS!$M209,DEFAULT!$B$5:$CI$5,0),""))</f>
        <v/>
      </c>
      <c r="AA209" s="56" t="str">
        <f t="shared" si="1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IF($AA209="","",IF($B209="I",VLOOKUP($AA209,#REF!,53,0),INDEX(VALUES!$B$1:$BF$1,1,$AA209)))</f>
        <v/>
      </c>
    </row>
    <row r="210" spans="1:29" outlineLevel="1" x14ac:dyDescent="0.3">
      <c r="A210" s="22" t="s">
        <v>84</v>
      </c>
      <c r="B210" s="41" t="str">
        <f t="shared" si="16"/>
        <v/>
      </c>
      <c r="C210" s="42">
        <f t="shared" si="15"/>
        <v>209</v>
      </c>
      <c r="D210" s="246" t="s">
        <v>9</v>
      </c>
      <c r="E210" s="38"/>
      <c r="F210" s="247"/>
      <c r="G210" s="208"/>
      <c r="H210" s="38"/>
      <c r="I210" s="38" t="s">
        <v>9</v>
      </c>
      <c r="J210" s="38"/>
      <c r="K210" s="159" t="s">
        <v>18</v>
      </c>
      <c r="L210" s="167" t="s">
        <v>21</v>
      </c>
      <c r="M210" s="251" t="s">
        <v>1097</v>
      </c>
      <c r="N210" s="159" t="s">
        <v>1098</v>
      </c>
      <c r="O210" s="159" t="s">
        <v>1099</v>
      </c>
      <c r="P210" s="176" t="s">
        <v>264</v>
      </c>
      <c r="Q210" s="176"/>
      <c r="R210" s="178" t="s">
        <v>195</v>
      </c>
      <c r="S210" s="171"/>
      <c r="T210" s="166"/>
      <c r="U210" s="166"/>
      <c r="V210" s="166"/>
      <c r="W210" s="15"/>
      <c r="X210" s="15" t="s">
        <v>1385</v>
      </c>
      <c r="Y210" s="166"/>
      <c r="Z210" s="59" t="str">
        <f>IF(OR($M210="",NOT($O210="{array}")),"",IFERROR(MATCH(PARAMETERS!$M210,DEFAULT!$B$5:$CI$5,0),""))</f>
        <v/>
      </c>
      <c r="AA210" s="56" t="str">
        <f t="shared" si="1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IF($AA210="","",IF($B210="I",VLOOKUP($AA210,#REF!,53,0),INDEX(VALUES!$B$1:$BF$1,1,$AA210)))</f>
        <v/>
      </c>
    </row>
    <row r="211" spans="1:29" outlineLevel="1" x14ac:dyDescent="0.3">
      <c r="A211" s="22" t="s">
        <v>84</v>
      </c>
      <c r="B211" s="41" t="str">
        <f t="shared" si="16"/>
        <v/>
      </c>
      <c r="C211" s="42">
        <f t="shared" si="15"/>
        <v>210</v>
      </c>
      <c r="D211" s="246" t="s">
        <v>9</v>
      </c>
      <c r="E211" s="38"/>
      <c r="F211" s="247"/>
      <c r="G211" s="208"/>
      <c r="H211" s="38"/>
      <c r="I211" s="38" t="s">
        <v>9</v>
      </c>
      <c r="J211" s="38"/>
      <c r="K211" s="159" t="s">
        <v>18</v>
      </c>
      <c r="L211" s="167" t="s">
        <v>21</v>
      </c>
      <c r="M211" s="251" t="s">
        <v>1100</v>
      </c>
      <c r="N211" s="159" t="s">
        <v>1101</v>
      </c>
      <c r="O211" s="159"/>
      <c r="P211" s="176" t="s">
        <v>264</v>
      </c>
      <c r="Q211" s="176"/>
      <c r="R211" s="178" t="s">
        <v>195</v>
      </c>
      <c r="S211" s="171"/>
      <c r="T211" s="166"/>
      <c r="U211" s="166"/>
      <c r="V211" s="166"/>
      <c r="W211" s="15"/>
      <c r="X211" s="15" t="s">
        <v>1385</v>
      </c>
      <c r="Y211" s="166"/>
      <c r="Z211" s="59" t="str">
        <f>IF(OR($M211="",NOT($O211="{array}")),"",IFERROR(MATCH(PARAMETERS!$M211,DEFAULT!$B$5:$CI$5,0),""))</f>
        <v/>
      </c>
      <c r="AA211" s="56" t="str">
        <f t="shared" si="12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IF($AA211="","",IF($B211="I",VLOOKUP($AA211,#REF!,53,0),INDEX(VALUES!$B$1:$BF$1,1,$AA211)))</f>
        <v/>
      </c>
    </row>
    <row r="212" spans="1:29" outlineLevel="1" x14ac:dyDescent="0.3">
      <c r="A212" s="22" t="s">
        <v>84</v>
      </c>
      <c r="B212" s="41" t="str">
        <f t="shared" si="16"/>
        <v/>
      </c>
      <c r="C212" s="42">
        <f t="shared" si="15"/>
        <v>211</v>
      </c>
      <c r="D212" s="246" t="s">
        <v>9</v>
      </c>
      <c r="E212" s="38"/>
      <c r="F212" s="247"/>
      <c r="G212" s="208"/>
      <c r="H212" s="38"/>
      <c r="I212" s="38" t="s">
        <v>9</v>
      </c>
      <c r="J212" s="38"/>
      <c r="K212" s="166" t="s">
        <v>18</v>
      </c>
      <c r="L212" s="167" t="s">
        <v>21</v>
      </c>
      <c r="M212" s="251" t="s">
        <v>1102</v>
      </c>
      <c r="N212" s="163" t="s">
        <v>1103</v>
      </c>
      <c r="O212" s="166" t="s">
        <v>966</v>
      </c>
      <c r="P212" s="160" t="s">
        <v>264</v>
      </c>
      <c r="Q212" s="162" t="s">
        <v>9</v>
      </c>
      <c r="R212" s="162" t="s">
        <v>103</v>
      </c>
      <c r="S212" s="162" t="s">
        <v>112</v>
      </c>
      <c r="T212" s="163" t="s">
        <v>264</v>
      </c>
      <c r="U212" s="163" t="s">
        <v>264</v>
      </c>
      <c r="V212" s="163" t="s">
        <v>1104</v>
      </c>
      <c r="W212" s="164"/>
      <c r="X212" s="15" t="s">
        <v>1385</v>
      </c>
      <c r="Y212" s="163" t="s">
        <v>1105</v>
      </c>
      <c r="Z212" s="59" t="str">
        <f>IF(OR($M212="",NOT($O212="{array}")),"",IFERROR(MATCH(PARAMETERS!$M212,DEFAULT!$B$5:$CI$5,0),""))</f>
        <v/>
      </c>
      <c r="AA212" s="56" t="str">
        <f t="shared" si="12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IF($AA212="","",IF($B212="I",VLOOKUP($AA212,#REF!,53,0),INDEX(VALUES!$B$1:$BF$1,1,$AA212)))</f>
        <v/>
      </c>
    </row>
    <row r="213" spans="1:29" outlineLevel="1" x14ac:dyDescent="0.3">
      <c r="A213" s="22" t="s">
        <v>84</v>
      </c>
      <c r="B213" s="41" t="str">
        <f t="shared" si="16"/>
        <v/>
      </c>
      <c r="C213" s="42">
        <f t="shared" si="15"/>
        <v>212</v>
      </c>
      <c r="D213" s="246" t="s">
        <v>9</v>
      </c>
      <c r="E213" s="38"/>
      <c r="F213" s="247"/>
      <c r="G213" s="208"/>
      <c r="H213" s="38"/>
      <c r="I213" s="38" t="s">
        <v>9</v>
      </c>
      <c r="J213" s="38"/>
      <c r="K213" s="166" t="s">
        <v>18</v>
      </c>
      <c r="L213" s="167" t="s">
        <v>21</v>
      </c>
      <c r="M213" s="251" t="s">
        <v>1106</v>
      </c>
      <c r="N213" s="163" t="s">
        <v>1107</v>
      </c>
      <c r="O213" s="166" t="s">
        <v>48</v>
      </c>
      <c r="P213" s="160" t="s">
        <v>264</v>
      </c>
      <c r="Q213" s="162" t="s">
        <v>9</v>
      </c>
      <c r="R213" s="162" t="s">
        <v>103</v>
      </c>
      <c r="S213" s="162" t="s">
        <v>112</v>
      </c>
      <c r="T213" s="163" t="s">
        <v>264</v>
      </c>
      <c r="U213" s="163" t="s">
        <v>264</v>
      </c>
      <c r="V213" s="163" t="s">
        <v>1108</v>
      </c>
      <c r="W213" s="164"/>
      <c r="X213" s="15" t="s">
        <v>122</v>
      </c>
      <c r="Y213" s="163" t="s">
        <v>1109</v>
      </c>
      <c r="Z213" s="59" t="str">
        <f>IF(OR($M213="",NOT($O213="{array}")),"",IFERROR(MATCH(PARAMETERS!$M213,DEFAULT!$B$5:$CI$5,0),""))</f>
        <v/>
      </c>
      <c r="AA213" s="56" t="str">
        <f t="shared" si="1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IF($AA213="","",IF($B213="I",VLOOKUP($AA213,#REF!,53,0),INDEX(VALUES!$B$1:$BF$1,1,$AA213)))</f>
        <v/>
      </c>
    </row>
    <row r="214" spans="1:29" outlineLevel="1" x14ac:dyDescent="0.25">
      <c r="A214" s="22" t="s">
        <v>84</v>
      </c>
      <c r="B214" s="41" t="str">
        <f t="shared" si="16"/>
        <v/>
      </c>
      <c r="C214" s="42">
        <f t="shared" si="15"/>
        <v>213</v>
      </c>
      <c r="D214" s="246" t="s">
        <v>9</v>
      </c>
      <c r="E214" s="38"/>
      <c r="F214" s="247" t="s">
        <v>9</v>
      </c>
      <c r="G214" s="208"/>
      <c r="H214" s="38"/>
      <c r="I214" s="38" t="s">
        <v>9</v>
      </c>
      <c r="J214" s="38"/>
      <c r="K214" s="14" t="s">
        <v>18</v>
      </c>
      <c r="L214" s="14" t="s">
        <v>27</v>
      </c>
      <c r="M214" s="20" t="s">
        <v>1110</v>
      </c>
      <c r="N214" s="14" t="s">
        <v>1111</v>
      </c>
      <c r="O214" s="43" t="s">
        <v>1088</v>
      </c>
      <c r="R214" s="38" t="s">
        <v>104</v>
      </c>
      <c r="S214" s="38"/>
      <c r="T214" s="38"/>
      <c r="V214" s="163" t="s">
        <v>1112</v>
      </c>
      <c r="W214" s="164"/>
      <c r="X214" s="15" t="s">
        <v>1385</v>
      </c>
      <c r="Y214" s="163" t="s">
        <v>1113</v>
      </c>
      <c r="Z214" s="59" t="str">
        <f>IF(OR($M214="",NOT($O214="{array}")),"",IFERROR(MATCH(PARAMETERS!$M214,DEFAULT!$B$5:$CI$5,0),""))</f>
        <v/>
      </c>
      <c r="AA214" s="56" t="str">
        <f t="shared" si="1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IF($AA214="","",IF($B214="I",VLOOKUP($AA214,#REF!,53,0),INDEX(VALUES!$B$1:$BF$1,1,$AA214)))</f>
        <v/>
      </c>
    </row>
    <row r="215" spans="1:29" outlineLevel="1" x14ac:dyDescent="0.3">
      <c r="A215" s="22" t="s">
        <v>84</v>
      </c>
      <c r="B215" s="41" t="str">
        <f t="shared" si="16"/>
        <v/>
      </c>
      <c r="C215" s="42">
        <f t="shared" si="15"/>
        <v>214</v>
      </c>
      <c r="D215" s="246" t="s">
        <v>9</v>
      </c>
      <c r="E215" s="38"/>
      <c r="F215" s="247"/>
      <c r="G215" s="208"/>
      <c r="H215" s="38"/>
      <c r="I215" s="38" t="s">
        <v>9</v>
      </c>
      <c r="J215" s="38"/>
      <c r="K215" s="166" t="s">
        <v>18</v>
      </c>
      <c r="L215" s="167" t="s">
        <v>21</v>
      </c>
      <c r="M215" s="251" t="s">
        <v>1114</v>
      </c>
      <c r="N215" s="159" t="s">
        <v>1115</v>
      </c>
      <c r="O215" s="43" t="str">
        <f>"8100"</f>
        <v>8100</v>
      </c>
      <c r="P215" s="160" t="s">
        <v>264</v>
      </c>
      <c r="Q215" s="171"/>
      <c r="R215" s="162" t="s">
        <v>103</v>
      </c>
      <c r="S215" s="162" t="s">
        <v>112</v>
      </c>
      <c r="T215" s="163" t="s">
        <v>264</v>
      </c>
      <c r="U215" s="163" t="s">
        <v>264</v>
      </c>
      <c r="V215" s="163" t="s">
        <v>1116</v>
      </c>
      <c r="W215" s="164"/>
      <c r="X215" s="15">
        <v>8100</v>
      </c>
      <c r="Y215" s="163" t="s">
        <v>1117</v>
      </c>
      <c r="Z215" s="59" t="str">
        <f>IF(OR($M215="",NOT($O215="{array}")),"",IFERROR(MATCH(PARAMETERS!$M215,DEFAULT!$B$5:$CI$5,0),""))</f>
        <v/>
      </c>
      <c r="AA215" s="56" t="str">
        <f t="shared" si="12"/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IF($AA215="","",IF($B215="I",VLOOKUP($AA215,#REF!,53,0),INDEX(VALUES!$B$1:$BF$1,1,$AA215)))</f>
        <v/>
      </c>
    </row>
    <row r="216" spans="1:29" outlineLevel="1" x14ac:dyDescent="0.3">
      <c r="A216" s="22" t="s">
        <v>84</v>
      </c>
      <c r="B216" s="41" t="str">
        <f t="shared" si="16"/>
        <v/>
      </c>
      <c r="C216" s="42">
        <f t="shared" si="15"/>
        <v>215</v>
      </c>
      <c r="D216" s="246" t="s">
        <v>9</v>
      </c>
      <c r="E216" s="38"/>
      <c r="F216" s="247"/>
      <c r="G216" s="208"/>
      <c r="H216" s="38"/>
      <c r="I216" s="38" t="s">
        <v>9</v>
      </c>
      <c r="J216" s="38"/>
      <c r="K216" s="14" t="s">
        <v>18</v>
      </c>
      <c r="L216" s="14" t="s">
        <v>27</v>
      </c>
      <c r="M216" s="203" t="s">
        <v>1118</v>
      </c>
      <c r="N216" s="53" t="s">
        <v>1119</v>
      </c>
      <c r="R216" s="208" t="s">
        <v>195</v>
      </c>
      <c r="S216" s="252"/>
      <c r="T216" s="38"/>
      <c r="W216" s="15" t="s">
        <v>104</v>
      </c>
      <c r="X216" s="15" t="s">
        <v>1385</v>
      </c>
      <c r="Z216" s="59" t="str">
        <f>IF(OR($M216="",NOT($O216="{array}")),"",IFERROR(MATCH(PARAMETERS!$M216,DEFAULT!$B$5:$CI$5,0),""))</f>
        <v/>
      </c>
      <c r="AA216" s="56" t="str">
        <f t="shared" si="12"/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IF($AA216="","",IF($B216="I",VLOOKUP($AA216,#REF!,53,0),INDEX(VALUES!$B$1:$BF$1,1,$AA216)))</f>
        <v/>
      </c>
    </row>
    <row r="217" spans="1:29" outlineLevel="1" x14ac:dyDescent="0.3">
      <c r="A217" s="22" t="s">
        <v>84</v>
      </c>
      <c r="B217" s="41" t="str">
        <f t="shared" si="16"/>
        <v/>
      </c>
      <c r="C217" s="42">
        <f t="shared" si="15"/>
        <v>216</v>
      </c>
      <c r="D217" s="246" t="s">
        <v>9</v>
      </c>
      <c r="E217" s="38"/>
      <c r="F217" s="247"/>
      <c r="G217" s="208"/>
      <c r="H217" s="38"/>
      <c r="I217" s="38" t="s">
        <v>9</v>
      </c>
      <c r="J217" s="38"/>
      <c r="K217" s="159" t="s">
        <v>18</v>
      </c>
      <c r="L217" s="167" t="s">
        <v>21</v>
      </c>
      <c r="M217" s="251" t="s">
        <v>1120</v>
      </c>
      <c r="N217" s="159" t="s">
        <v>1121</v>
      </c>
      <c r="O217" s="159" t="s">
        <v>1099</v>
      </c>
      <c r="P217" s="176" t="s">
        <v>264</v>
      </c>
      <c r="Q217" s="176"/>
      <c r="R217" s="178" t="s">
        <v>195</v>
      </c>
      <c r="S217" s="171"/>
      <c r="T217" s="166"/>
      <c r="U217" s="166"/>
      <c r="V217" s="166"/>
      <c r="W217" s="15"/>
      <c r="X217" s="15" t="s">
        <v>1385</v>
      </c>
      <c r="Y217" s="166"/>
      <c r="Z217" s="59" t="str">
        <f>IF(OR($M217="",NOT($O217="{array}")),"",IFERROR(MATCH(PARAMETERS!$M217,DEFAULT!$B$5:$CI$5,0),""))</f>
        <v/>
      </c>
      <c r="AA217" s="56" t="str">
        <f t="shared" si="12"/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IF($AA217="","",IF($B217="I",VLOOKUP($AA217,#REF!,53,0),INDEX(VALUES!$B$1:$BF$1,1,$AA217)))</f>
        <v/>
      </c>
    </row>
    <row r="218" spans="1:29" outlineLevel="1" x14ac:dyDescent="0.3">
      <c r="A218" s="22" t="s">
        <v>84</v>
      </c>
      <c r="B218" s="41" t="str">
        <f t="shared" si="16"/>
        <v/>
      </c>
      <c r="C218" s="42">
        <f t="shared" si="15"/>
        <v>217</v>
      </c>
      <c r="D218" s="246" t="s">
        <v>9</v>
      </c>
      <c r="E218" s="38"/>
      <c r="F218" s="247"/>
      <c r="G218" s="208"/>
      <c r="H218" s="38"/>
      <c r="I218" s="38" t="s">
        <v>9</v>
      </c>
      <c r="J218" s="38"/>
      <c r="K218" s="159" t="s">
        <v>18</v>
      </c>
      <c r="L218" s="167" t="s">
        <v>21</v>
      </c>
      <c r="M218" s="251" t="s">
        <v>1122</v>
      </c>
      <c r="N218" s="159" t="s">
        <v>1123</v>
      </c>
      <c r="O218" s="159"/>
      <c r="P218" s="176" t="s">
        <v>264</v>
      </c>
      <c r="Q218" s="176"/>
      <c r="R218" s="178" t="s">
        <v>195</v>
      </c>
      <c r="S218" s="171"/>
      <c r="T218" s="166"/>
      <c r="U218" s="166"/>
      <c r="V218" s="166"/>
      <c r="W218" s="15"/>
      <c r="X218" s="15" t="s">
        <v>1385</v>
      </c>
      <c r="Y218" s="166"/>
      <c r="Z218" s="59" t="str">
        <f>IF(OR($M218="",NOT($O218="{array}")),"",IFERROR(MATCH(PARAMETERS!$M218,DEFAULT!$B$5:$CI$5,0),""))</f>
        <v/>
      </c>
      <c r="AA218" s="56" t="str">
        <f t="shared" si="12"/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IF($AA218="","",IF($B218="I",VLOOKUP($AA218,#REF!,53,0),INDEX(VALUES!$B$1:$BF$1,1,$AA218)))</f>
        <v/>
      </c>
    </row>
    <row r="219" spans="1:29" outlineLevel="1" x14ac:dyDescent="0.3">
      <c r="A219" s="22" t="s">
        <v>84</v>
      </c>
      <c r="B219" s="41" t="str">
        <f t="shared" si="16"/>
        <v/>
      </c>
      <c r="C219" s="42">
        <f t="shared" si="15"/>
        <v>218</v>
      </c>
      <c r="D219" s="246" t="s">
        <v>9</v>
      </c>
      <c r="E219" s="38"/>
      <c r="F219" s="247"/>
      <c r="G219" s="208"/>
      <c r="H219" s="38"/>
      <c r="I219" s="38" t="s">
        <v>9</v>
      </c>
      <c r="J219" s="38"/>
      <c r="K219" s="166" t="s">
        <v>18</v>
      </c>
      <c r="L219" s="167" t="s">
        <v>21</v>
      </c>
      <c r="M219" s="251" t="s">
        <v>1124</v>
      </c>
      <c r="N219" s="163" t="s">
        <v>1125</v>
      </c>
      <c r="O219" s="166" t="s">
        <v>966</v>
      </c>
      <c r="P219" s="160" t="s">
        <v>264</v>
      </c>
      <c r="Q219" s="162" t="s">
        <v>9</v>
      </c>
      <c r="R219" s="162" t="s">
        <v>103</v>
      </c>
      <c r="S219" s="162" t="s">
        <v>112</v>
      </c>
      <c r="T219" s="163" t="s">
        <v>264</v>
      </c>
      <c r="U219" s="163" t="s">
        <v>264</v>
      </c>
      <c r="V219" s="163" t="s">
        <v>1126</v>
      </c>
      <c r="W219" s="164"/>
      <c r="X219" s="15" t="s">
        <v>1385</v>
      </c>
      <c r="Y219" s="163" t="s">
        <v>1127</v>
      </c>
      <c r="Z219" s="59" t="str">
        <f>IF(OR($M219="",NOT($O219="{array}")),"",IFERROR(MATCH(PARAMETERS!$M219,DEFAULT!$B$5:$CI$5,0),""))</f>
        <v/>
      </c>
      <c r="AA219" s="56" t="str">
        <f t="shared" si="12"/>
        <v/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IF($AA219="","",IF($B219="I",VLOOKUP($AA219,#REF!,53,0),INDEX(VALUES!$B$1:$BF$1,1,$AA219)))</f>
        <v/>
      </c>
    </row>
    <row r="220" spans="1:29" outlineLevel="1" x14ac:dyDescent="0.3">
      <c r="A220" s="22" t="s">
        <v>84</v>
      </c>
      <c r="B220" s="41" t="str">
        <f t="shared" si="16"/>
        <v/>
      </c>
      <c r="C220" s="42">
        <f t="shared" si="15"/>
        <v>219</v>
      </c>
      <c r="D220" s="246" t="s">
        <v>9</v>
      </c>
      <c r="E220" s="38"/>
      <c r="F220" s="247"/>
      <c r="G220" s="208"/>
      <c r="H220" s="38"/>
      <c r="I220" s="38" t="s">
        <v>9</v>
      </c>
      <c r="J220" s="38"/>
      <c r="K220" s="166" t="s">
        <v>18</v>
      </c>
      <c r="L220" s="167" t="s">
        <v>21</v>
      </c>
      <c r="M220" s="251" t="s">
        <v>1128</v>
      </c>
      <c r="N220" s="163" t="s">
        <v>1129</v>
      </c>
      <c r="O220" s="166" t="s">
        <v>48</v>
      </c>
      <c r="P220" s="160" t="s">
        <v>264</v>
      </c>
      <c r="Q220" s="162" t="s">
        <v>9</v>
      </c>
      <c r="R220" s="162" t="s">
        <v>103</v>
      </c>
      <c r="S220" s="162" t="s">
        <v>112</v>
      </c>
      <c r="T220" s="163" t="s">
        <v>264</v>
      </c>
      <c r="U220" s="163" t="s">
        <v>264</v>
      </c>
      <c r="V220" s="163" t="s">
        <v>1130</v>
      </c>
      <c r="W220" s="164"/>
      <c r="X220" s="15" t="s">
        <v>122</v>
      </c>
      <c r="Y220" s="163" t="s">
        <v>1131</v>
      </c>
      <c r="Z220" s="59" t="str">
        <f>IF(OR($M220="",NOT($O220="{array}")),"",IFERROR(MATCH(PARAMETERS!$M220,DEFAULT!$B$5:$CI$5,0),""))</f>
        <v/>
      </c>
      <c r="AA220" s="56" t="str">
        <f t="shared" si="12"/>
        <v/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IF($AA220="","",IF($B220="I",VLOOKUP($AA220,#REF!,53,0),INDEX(VALUES!$B$1:$BF$1,1,$AA220)))</f>
        <v/>
      </c>
    </row>
    <row r="221" spans="1:29" outlineLevel="1" x14ac:dyDescent="0.3">
      <c r="A221" s="22" t="s">
        <v>84</v>
      </c>
      <c r="B221" s="41" t="str">
        <f t="shared" si="16"/>
        <v/>
      </c>
      <c r="C221" s="42">
        <f t="shared" si="15"/>
        <v>220</v>
      </c>
      <c r="D221" s="246" t="s">
        <v>9</v>
      </c>
      <c r="E221" s="38"/>
      <c r="F221" s="247"/>
      <c r="G221" s="208"/>
      <c r="H221" s="38"/>
      <c r="I221" s="38" t="s">
        <v>9</v>
      </c>
      <c r="J221" s="38"/>
      <c r="K221" s="14" t="s">
        <v>18</v>
      </c>
      <c r="L221" s="14" t="s">
        <v>27</v>
      </c>
      <c r="M221" s="20" t="s">
        <v>1132</v>
      </c>
      <c r="N221" s="14" t="s">
        <v>1133</v>
      </c>
      <c r="O221" s="43" t="s">
        <v>1088</v>
      </c>
      <c r="R221" s="38" t="s">
        <v>104</v>
      </c>
      <c r="S221" s="38"/>
      <c r="T221" s="38"/>
      <c r="W221" s="15"/>
      <c r="X221" s="15" t="s">
        <v>1385</v>
      </c>
      <c r="Z221" s="59" t="str">
        <f>IF(OR($M221="",NOT($O221="{array}")),"",IFERROR(MATCH(PARAMETERS!$M221,DEFAULT!$B$5:$CI$5,0),""))</f>
        <v/>
      </c>
      <c r="AA221" s="56" t="str">
        <f t="shared" si="12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IF($AA221="","",IF($B221="I",VLOOKUP($AA221,#REF!,53,0),INDEX(VALUES!$B$1:$BF$1,1,$AA221)))</f>
        <v/>
      </c>
    </row>
    <row r="222" spans="1:29" outlineLevel="1" x14ac:dyDescent="0.3">
      <c r="A222" s="22" t="s">
        <v>84</v>
      </c>
      <c r="B222" s="41" t="str">
        <f t="shared" si="16"/>
        <v/>
      </c>
      <c r="C222" s="42">
        <f t="shared" si="15"/>
        <v>221</v>
      </c>
      <c r="D222" s="246" t="s">
        <v>9</v>
      </c>
      <c r="E222" s="38"/>
      <c r="F222" s="247"/>
      <c r="G222" s="208"/>
      <c r="H222" s="38"/>
      <c r="I222" s="38" t="s">
        <v>9</v>
      </c>
      <c r="J222" s="38"/>
      <c r="K222" s="159" t="s">
        <v>18</v>
      </c>
      <c r="L222" s="167" t="s">
        <v>21</v>
      </c>
      <c r="M222" s="251" t="s">
        <v>1134</v>
      </c>
      <c r="N222" s="159" t="s">
        <v>1135</v>
      </c>
      <c r="O222" s="43" t="str">
        <f>"8100"</f>
        <v>8100</v>
      </c>
      <c r="P222" s="160" t="s">
        <v>264</v>
      </c>
      <c r="Q222" s="171"/>
      <c r="R222" s="208" t="s">
        <v>195</v>
      </c>
      <c r="S222" s="162"/>
      <c r="T222" s="166" t="s">
        <v>264</v>
      </c>
      <c r="U222" s="166" t="s">
        <v>264</v>
      </c>
      <c r="V222" s="166"/>
      <c r="W222" s="15"/>
      <c r="X222" s="15">
        <v>8100</v>
      </c>
      <c r="Y222" s="166"/>
      <c r="Z222" s="59" t="str">
        <f>IF(OR($M222="",NOT($O222="{array}")),"",IFERROR(MATCH(PARAMETERS!$M222,DEFAULT!$B$5:$CI$5,0),""))</f>
        <v/>
      </c>
      <c r="AA222" s="56" t="str">
        <f t="shared" si="12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IF($AA222="","",IF($B222="I",VLOOKUP($AA222,#REF!,53,0),INDEX(VALUES!$B$1:$BF$1,1,$AA222)))</f>
        <v/>
      </c>
    </row>
    <row r="223" spans="1:29" outlineLevel="1" x14ac:dyDescent="0.3">
      <c r="A223" s="22" t="s">
        <v>84</v>
      </c>
      <c r="B223" s="41" t="str">
        <f t="shared" si="16"/>
        <v/>
      </c>
      <c r="C223" s="42">
        <f t="shared" si="15"/>
        <v>222</v>
      </c>
      <c r="D223" s="246" t="s">
        <v>9</v>
      </c>
      <c r="E223" s="38"/>
      <c r="F223" s="247"/>
      <c r="G223" s="208"/>
      <c r="H223" s="38"/>
      <c r="I223" s="38" t="s">
        <v>9</v>
      </c>
      <c r="J223" s="38"/>
      <c r="K223" s="14" t="s">
        <v>18</v>
      </c>
      <c r="L223" s="14" t="s">
        <v>27</v>
      </c>
      <c r="M223" s="203" t="s">
        <v>1136</v>
      </c>
      <c r="N223" s="53" t="s">
        <v>1137</v>
      </c>
      <c r="R223" s="208" t="s">
        <v>195</v>
      </c>
      <c r="S223" s="38"/>
      <c r="T223" s="38"/>
      <c r="W223" s="15"/>
      <c r="X223" s="15" t="s">
        <v>1385</v>
      </c>
      <c r="Z223" s="59" t="str">
        <f>IF(OR($M223="",NOT($O223="{array}")),"",IFERROR(MATCH(PARAMETERS!$M223,DEFAULT!$B$5:$CI$5,0),""))</f>
        <v/>
      </c>
      <c r="AA223" s="56" t="str">
        <f t="shared" si="12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IF($AA223="","",IF($B223="I",VLOOKUP($AA223,#REF!,53,0),INDEX(VALUES!$B$1:$BF$1,1,$AA223)))</f>
        <v/>
      </c>
    </row>
    <row r="224" spans="1:29" outlineLevel="1" x14ac:dyDescent="0.3">
      <c r="A224" s="22" t="s">
        <v>84</v>
      </c>
      <c r="B224" s="41" t="str">
        <f t="shared" si="16"/>
        <v/>
      </c>
      <c r="C224" s="42">
        <f t="shared" si="15"/>
        <v>223</v>
      </c>
      <c r="D224" s="246" t="s">
        <v>9</v>
      </c>
      <c r="E224" s="38"/>
      <c r="F224" s="247"/>
      <c r="G224" s="208"/>
      <c r="H224" s="38"/>
      <c r="I224" s="38" t="s">
        <v>9</v>
      </c>
      <c r="J224" s="38"/>
      <c r="K224" s="14" t="s">
        <v>44</v>
      </c>
      <c r="L224" s="14" t="s">
        <v>27</v>
      </c>
      <c r="M224" s="20" t="s">
        <v>1138</v>
      </c>
      <c r="N224" s="14" t="s">
        <v>1139</v>
      </c>
      <c r="O224" s="43">
        <v>1</v>
      </c>
      <c r="R224" s="208" t="s">
        <v>195</v>
      </c>
      <c r="S224" s="38"/>
      <c r="T224" s="38"/>
      <c r="W224" s="15"/>
      <c r="X224" s="15" t="s">
        <v>1385</v>
      </c>
      <c r="Z224" s="59" t="str">
        <f>IF(OR($M224="",NOT($O224="{array}")),"",IFERROR(MATCH(PARAMETERS!$M224,DEFAULT!$B$5:$CI$5,0),""))</f>
        <v/>
      </c>
      <c r="AA224" s="56" t="str">
        <f t="shared" si="12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IF($AA224="","",IF($B224="I",VLOOKUP($AA224,#REF!,53,0),INDEX(VALUES!$B$1:$BF$1,1,$AA224)))</f>
        <v/>
      </c>
    </row>
    <row r="225" spans="1:29" outlineLevel="1" x14ac:dyDescent="0.3">
      <c r="A225" s="22" t="s">
        <v>84</v>
      </c>
      <c r="B225" s="41" t="str">
        <f t="shared" si="16"/>
        <v/>
      </c>
      <c r="C225" s="42">
        <f t="shared" si="15"/>
        <v>224</v>
      </c>
      <c r="D225" s="246" t="s">
        <v>9</v>
      </c>
      <c r="E225" s="38"/>
      <c r="F225" s="247"/>
      <c r="G225" s="208"/>
      <c r="H225" s="38"/>
      <c r="I225" s="38" t="s">
        <v>9</v>
      </c>
      <c r="J225" s="38"/>
      <c r="K225" s="159" t="s">
        <v>18</v>
      </c>
      <c r="L225" s="167" t="s">
        <v>21</v>
      </c>
      <c r="M225" s="251" t="s">
        <v>1140</v>
      </c>
      <c r="N225" s="159" t="s">
        <v>1141</v>
      </c>
      <c r="O225" s="159" t="s">
        <v>1099</v>
      </c>
      <c r="P225" s="176" t="s">
        <v>264</v>
      </c>
      <c r="Q225" s="176"/>
      <c r="R225" s="178" t="s">
        <v>195</v>
      </c>
      <c r="S225" s="171"/>
      <c r="T225" s="166"/>
      <c r="U225" s="166"/>
      <c r="V225" s="166"/>
      <c r="W225" s="15"/>
      <c r="X225" s="15" t="s">
        <v>1385</v>
      </c>
      <c r="Y225" s="166"/>
      <c r="Z225" s="59" t="str">
        <f>IF(OR($M225="",NOT($O225="{array}")),"",IFERROR(MATCH(PARAMETERS!$M225,DEFAULT!$B$5:$CI$5,0),""))</f>
        <v/>
      </c>
      <c r="AA225" s="56" t="str">
        <f t="shared" si="12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IF($AA225="","",IF($B225="I",VLOOKUP($AA225,#REF!,53,0),INDEX(VALUES!$B$1:$BF$1,1,$AA225)))</f>
        <v/>
      </c>
    </row>
    <row r="226" spans="1:29" outlineLevel="1" x14ac:dyDescent="0.3">
      <c r="A226" s="22" t="s">
        <v>84</v>
      </c>
      <c r="B226" s="41" t="str">
        <f t="shared" si="16"/>
        <v/>
      </c>
      <c r="C226" s="42">
        <f t="shared" si="15"/>
        <v>225</v>
      </c>
      <c r="D226" s="246" t="s">
        <v>9</v>
      </c>
      <c r="E226" s="38"/>
      <c r="F226" s="247"/>
      <c r="G226" s="208"/>
      <c r="H226" s="38"/>
      <c r="I226" s="38" t="s">
        <v>9</v>
      </c>
      <c r="J226" s="38"/>
      <c r="K226" s="166" t="s">
        <v>18</v>
      </c>
      <c r="L226" s="167" t="s">
        <v>21</v>
      </c>
      <c r="M226" s="251" t="s">
        <v>1142</v>
      </c>
      <c r="N226" s="159" t="s">
        <v>1143</v>
      </c>
      <c r="O226" s="159" t="s">
        <v>966</v>
      </c>
      <c r="P226" s="176" t="s">
        <v>264</v>
      </c>
      <c r="Q226" s="178" t="s">
        <v>9</v>
      </c>
      <c r="R226" s="178" t="s">
        <v>103</v>
      </c>
      <c r="S226" s="178" t="s">
        <v>112</v>
      </c>
      <c r="T226" s="159" t="s">
        <v>264</v>
      </c>
      <c r="U226" s="159" t="s">
        <v>264</v>
      </c>
      <c r="V226" s="159" t="s">
        <v>1126</v>
      </c>
      <c r="W226" s="253"/>
      <c r="X226" s="15" t="s">
        <v>1385</v>
      </c>
      <c r="Y226" s="159" t="s">
        <v>1127</v>
      </c>
      <c r="Z226" s="59" t="str">
        <f>IF(OR($M226="",NOT($O226="{array}")),"",IFERROR(MATCH(PARAMETERS!$M226,DEFAULT!$B$5:$CI$5,0),""))</f>
        <v/>
      </c>
      <c r="AA226" s="56" t="str">
        <f t="shared" si="12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IF($AA226="","",IF($B226="I",VLOOKUP($AA226,#REF!,53,0),INDEX(VALUES!$B$1:$BF$1,1,$AA226)))</f>
        <v/>
      </c>
    </row>
    <row r="227" spans="1:29" outlineLevel="1" x14ac:dyDescent="0.3">
      <c r="A227" s="22" t="s">
        <v>84</v>
      </c>
      <c r="B227" s="41" t="str">
        <f t="shared" si="16"/>
        <v/>
      </c>
      <c r="C227" s="42">
        <f t="shared" si="15"/>
        <v>226</v>
      </c>
      <c r="D227" s="246" t="s">
        <v>9</v>
      </c>
      <c r="E227" s="38"/>
      <c r="F227" s="247"/>
      <c r="G227" s="208"/>
      <c r="H227" s="38"/>
      <c r="I227" s="38" t="s">
        <v>9</v>
      </c>
      <c r="J227" s="38"/>
      <c r="K227" s="166" t="s">
        <v>18</v>
      </c>
      <c r="L227" s="167" t="s">
        <v>21</v>
      </c>
      <c r="M227" s="251" t="s">
        <v>1144</v>
      </c>
      <c r="N227" s="159" t="s">
        <v>1145</v>
      </c>
      <c r="O227" s="159" t="s">
        <v>48</v>
      </c>
      <c r="P227" s="176" t="s">
        <v>264</v>
      </c>
      <c r="Q227" s="178" t="s">
        <v>9</v>
      </c>
      <c r="R227" s="178" t="s">
        <v>103</v>
      </c>
      <c r="S227" s="178" t="s">
        <v>112</v>
      </c>
      <c r="T227" s="159" t="s">
        <v>264</v>
      </c>
      <c r="U227" s="159" t="s">
        <v>264</v>
      </c>
      <c r="V227" s="159" t="s">
        <v>1130</v>
      </c>
      <c r="W227" s="253"/>
      <c r="X227" s="15" t="s">
        <v>19</v>
      </c>
      <c r="Y227" s="159" t="s">
        <v>1131</v>
      </c>
      <c r="Z227" s="59" t="str">
        <f>IF(OR($M227="",NOT($O227="{array}")),"",IFERROR(MATCH(PARAMETERS!$M227,DEFAULT!$B$5:$CI$5,0),""))</f>
        <v/>
      </c>
      <c r="AA227" s="56" t="str">
        <f t="shared" si="12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IF($AA227="","",IF($B227="I",VLOOKUP($AA227,#REF!,53,0),INDEX(VALUES!$B$1:$BF$1,1,$AA227)))</f>
        <v/>
      </c>
    </row>
    <row r="228" spans="1:29" outlineLevel="1" x14ac:dyDescent="0.25">
      <c r="A228" s="22" t="s">
        <v>84</v>
      </c>
      <c r="B228" s="41" t="str">
        <f t="shared" si="16"/>
        <v/>
      </c>
      <c r="C228" s="42">
        <f t="shared" si="15"/>
        <v>227</v>
      </c>
      <c r="D228" s="246" t="s">
        <v>9</v>
      </c>
      <c r="E228" s="38"/>
      <c r="F228" s="247"/>
      <c r="G228" s="208"/>
      <c r="H228" s="38"/>
      <c r="I228" s="38" t="s">
        <v>9</v>
      </c>
      <c r="J228" s="38"/>
      <c r="K228" s="14" t="s">
        <v>24</v>
      </c>
      <c r="L228" s="14" t="s">
        <v>27</v>
      </c>
      <c r="M228" s="20" t="s">
        <v>1146</v>
      </c>
      <c r="N228" s="53" t="s">
        <v>1147</v>
      </c>
      <c r="O228" s="43">
        <v>1.05</v>
      </c>
      <c r="R228" s="38" t="s">
        <v>104</v>
      </c>
      <c r="S228" s="38"/>
      <c r="T228" s="38"/>
      <c r="V228" s="166" t="s">
        <v>1148</v>
      </c>
      <c r="W228" s="15" t="s">
        <v>104</v>
      </c>
      <c r="X228" s="15" t="s">
        <v>1385</v>
      </c>
      <c r="Y228" s="166" t="s">
        <v>1149</v>
      </c>
      <c r="Z228" s="59" t="str">
        <f>IF(OR($M228="",NOT($O228="{array}")),"",IFERROR(MATCH(PARAMETERS!$M228,DEFAULT!$B$5:$CI$5,0),""))</f>
        <v/>
      </c>
      <c r="AA228" s="56" t="str">
        <f t="shared" si="1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IF($AA228="","",IF($B228="I",VLOOKUP($AA228,#REF!,53,0),INDEX(VALUES!$B$1:$BF$1,1,$AA228)))</f>
        <v/>
      </c>
    </row>
    <row r="229" spans="1:29" outlineLevel="1" x14ac:dyDescent="0.3">
      <c r="A229" s="22" t="s">
        <v>84</v>
      </c>
      <c r="B229" s="41" t="str">
        <f t="shared" si="16"/>
        <v/>
      </c>
      <c r="C229" s="42">
        <f t="shared" si="15"/>
        <v>228</v>
      </c>
      <c r="D229" s="246" t="s">
        <v>9</v>
      </c>
      <c r="E229" s="38"/>
      <c r="F229" s="247"/>
      <c r="G229" s="208"/>
      <c r="H229" s="38"/>
      <c r="I229" s="38" t="s">
        <v>9</v>
      </c>
      <c r="J229" s="38"/>
      <c r="K229" s="14" t="s">
        <v>24</v>
      </c>
      <c r="L229" s="14" t="s">
        <v>27</v>
      </c>
      <c r="M229" s="20" t="s">
        <v>1150</v>
      </c>
      <c r="N229" s="53" t="s">
        <v>1151</v>
      </c>
      <c r="O229" s="43">
        <v>1.05</v>
      </c>
      <c r="R229" s="38" t="s">
        <v>104</v>
      </c>
      <c r="S229" s="38"/>
      <c r="T229" s="38"/>
      <c r="W229" s="15" t="s">
        <v>104</v>
      </c>
      <c r="X229" s="15" t="s">
        <v>1385</v>
      </c>
      <c r="Z229" s="59" t="str">
        <f>IF(OR($M229="",NOT($O229="{array}")),"",IFERROR(MATCH(PARAMETERS!$M229,DEFAULT!$B$5:$CI$5,0),""))</f>
        <v/>
      </c>
      <c r="AA229" s="56" t="str">
        <f t="shared" si="1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IF($AA229="","",IF($B229="I",VLOOKUP($AA229,#REF!,53,0),INDEX(VALUES!$B$1:$BF$1,1,$AA229)))</f>
        <v/>
      </c>
    </row>
    <row r="230" spans="1:29" x14ac:dyDescent="0.3">
      <c r="A230" s="22" t="s">
        <v>84</v>
      </c>
      <c r="B230" s="41" t="str">
        <f t="shared" si="16"/>
        <v/>
      </c>
      <c r="C230" s="42">
        <f t="shared" si="15"/>
        <v>229</v>
      </c>
      <c r="D230" s="246"/>
      <c r="E230" s="38"/>
      <c r="F230" s="247"/>
      <c r="G230" s="208"/>
      <c r="H230" s="38"/>
      <c r="I230" s="38"/>
      <c r="J230" s="38"/>
      <c r="K230" s="248" t="s">
        <v>57</v>
      </c>
      <c r="L230" s="248" t="s">
        <v>38</v>
      </c>
      <c r="M230" s="249" t="s">
        <v>1152</v>
      </c>
      <c r="N230" s="250" t="s">
        <v>1153</v>
      </c>
      <c r="R230" s="38" t="s">
        <v>104</v>
      </c>
      <c r="S230" s="38"/>
      <c r="T230" s="38"/>
      <c r="W230" s="15"/>
      <c r="X230" s="15" t="s">
        <v>1385</v>
      </c>
      <c r="Z230" s="59" t="str">
        <f>IF(OR($M230="",NOT($O230="{array}")),"",IFERROR(MATCH(PARAMETERS!$M230,DEFAULT!$B$5:$CI$5,0),""))</f>
        <v/>
      </c>
      <c r="AA230" s="56" t="str">
        <f t="shared" si="1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IF($AA230="","",IF($B230="I",VLOOKUP($AA230,#REF!,53,0),INDEX(VALUES!$B$1:$BF$1,1,$AA230)))</f>
        <v/>
      </c>
    </row>
    <row r="231" spans="1:29" outlineLevel="1" x14ac:dyDescent="0.3">
      <c r="A231" s="22" t="s">
        <v>84</v>
      </c>
      <c r="B231" s="41" t="str">
        <f t="shared" si="16"/>
        <v/>
      </c>
      <c r="C231" s="42">
        <f t="shared" si="15"/>
        <v>230</v>
      </c>
      <c r="D231" s="246"/>
      <c r="E231" s="38"/>
      <c r="F231" s="247"/>
      <c r="G231" s="208"/>
      <c r="H231" s="38"/>
      <c r="I231" s="38" t="s">
        <v>9</v>
      </c>
      <c r="J231" s="38"/>
      <c r="K231" s="166" t="s">
        <v>18</v>
      </c>
      <c r="L231" s="167" t="s">
        <v>21</v>
      </c>
      <c r="M231" s="251" t="s">
        <v>1154</v>
      </c>
      <c r="N231" s="163" t="s">
        <v>1084</v>
      </c>
      <c r="O231" s="166" t="s">
        <v>264</v>
      </c>
      <c r="P231" s="160" t="s">
        <v>264</v>
      </c>
      <c r="Q231" s="171" t="s">
        <v>9</v>
      </c>
      <c r="R231" s="171" t="s">
        <v>103</v>
      </c>
      <c r="S231" s="171" t="s">
        <v>112</v>
      </c>
      <c r="T231" s="166" t="s">
        <v>264</v>
      </c>
      <c r="U231" s="166" t="s">
        <v>264</v>
      </c>
      <c r="V231" s="166" t="s">
        <v>1084</v>
      </c>
      <c r="W231" s="15"/>
      <c r="X231" s="15" t="s">
        <v>1385</v>
      </c>
      <c r="Y231" s="166"/>
      <c r="Z231" s="59" t="str">
        <f>IF(OR($M231="",NOT($O231="{array}")),"",IFERROR(MATCH(PARAMETERS!$M231,DEFAULT!$B$5:$CI$5,0),""))</f>
        <v/>
      </c>
      <c r="AA231" s="56" t="str">
        <f t="shared" si="1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IF($AA231="","",IF($B231="I",VLOOKUP($AA231,#REF!,53,0),INDEX(VALUES!$B$1:$BF$1,1,$AA231)))</f>
        <v/>
      </c>
    </row>
    <row r="232" spans="1:29" outlineLevel="1" x14ac:dyDescent="0.3">
      <c r="A232" s="22" t="s">
        <v>84</v>
      </c>
      <c r="B232" s="41" t="str">
        <f t="shared" si="16"/>
        <v/>
      </c>
      <c r="C232" s="42">
        <f t="shared" si="15"/>
        <v>231</v>
      </c>
      <c r="D232" s="246" t="s">
        <v>9</v>
      </c>
      <c r="E232" s="38"/>
      <c r="F232" s="247"/>
      <c r="G232" s="208"/>
      <c r="H232" s="38"/>
      <c r="I232" s="38" t="s">
        <v>9</v>
      </c>
      <c r="J232" s="38"/>
      <c r="K232" s="166" t="s">
        <v>18</v>
      </c>
      <c r="L232" s="167" t="s">
        <v>32</v>
      </c>
      <c r="M232" s="251" t="s">
        <v>1155</v>
      </c>
      <c r="N232" s="159" t="s">
        <v>1156</v>
      </c>
      <c r="O232" s="163" t="s">
        <v>1157</v>
      </c>
      <c r="P232" s="165" t="s">
        <v>264</v>
      </c>
      <c r="Q232" s="162" t="s">
        <v>9</v>
      </c>
      <c r="R232" s="162" t="s">
        <v>103</v>
      </c>
      <c r="S232" s="162" t="s">
        <v>112</v>
      </c>
      <c r="T232" s="163" t="s">
        <v>264</v>
      </c>
      <c r="U232" s="163" t="s">
        <v>264</v>
      </c>
      <c r="V232" s="163" t="s">
        <v>1158</v>
      </c>
      <c r="W232" s="164"/>
      <c r="X232" s="15" t="s">
        <v>1385</v>
      </c>
      <c r="Y232" s="163" t="s">
        <v>1159</v>
      </c>
      <c r="Z232" s="59" t="str">
        <f>IF(OR($M232="",NOT($O232="{array}")),"",IFERROR(MATCH(PARAMETERS!$M232,DEFAULT!$B$5:$CI$5,0),""))</f>
        <v/>
      </c>
      <c r="AA232" s="56" t="str">
        <f t="shared" si="1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IF($AA232="","",IF($B232="I",VLOOKUP($AA232,#REF!,53,0),INDEX(VALUES!$B$1:$BF$1,1,$AA232)))</f>
        <v/>
      </c>
    </row>
    <row r="233" spans="1:29" outlineLevel="1" x14ac:dyDescent="0.3">
      <c r="A233" s="22" t="s">
        <v>84</v>
      </c>
      <c r="B233" s="41" t="str">
        <f t="shared" si="16"/>
        <v/>
      </c>
      <c r="C233" s="42">
        <f t="shared" si="15"/>
        <v>232</v>
      </c>
      <c r="D233" s="246"/>
      <c r="E233" s="38"/>
      <c r="F233" s="247"/>
      <c r="G233" s="208"/>
      <c r="H233" s="38"/>
      <c r="I233" s="38" t="s">
        <v>9</v>
      </c>
      <c r="J233" s="38"/>
      <c r="K233" s="166" t="s">
        <v>18</v>
      </c>
      <c r="L233" s="167" t="s">
        <v>21</v>
      </c>
      <c r="M233" s="251" t="s">
        <v>1160</v>
      </c>
      <c r="N233" s="159" t="s">
        <v>1161</v>
      </c>
      <c r="O233" s="159" t="s">
        <v>1162</v>
      </c>
      <c r="P233" s="160" t="s">
        <v>264</v>
      </c>
      <c r="Q233" s="171"/>
      <c r="R233" s="162" t="s">
        <v>103</v>
      </c>
      <c r="S233" s="162" t="s">
        <v>112</v>
      </c>
      <c r="T233" s="163" t="s">
        <v>264</v>
      </c>
      <c r="U233" s="163" t="s">
        <v>264</v>
      </c>
      <c r="V233" s="163" t="s">
        <v>1163</v>
      </c>
      <c r="W233" s="164"/>
      <c r="X233" s="15" t="s">
        <v>1385</v>
      </c>
      <c r="Y233" s="163"/>
      <c r="Z233" s="59" t="str">
        <f>IF(OR($M233="",NOT($O233="{array}")),"",IFERROR(MATCH(PARAMETERS!$M233,DEFAULT!$B$5:$CI$5,0),""))</f>
        <v/>
      </c>
      <c r="AA233" s="56" t="str">
        <f t="shared" si="1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IF($AA233="","",IF($B233="I",VLOOKUP($AA233,#REF!,53,0),INDEX(VALUES!$B$1:$BF$1,1,$AA233)))</f>
        <v/>
      </c>
    </row>
    <row r="234" spans="1:29" outlineLevel="1" x14ac:dyDescent="0.3">
      <c r="A234" s="22" t="s">
        <v>84</v>
      </c>
      <c r="B234" s="41" t="str">
        <f t="shared" si="16"/>
        <v/>
      </c>
      <c r="C234" s="42">
        <f t="shared" si="15"/>
        <v>233</v>
      </c>
      <c r="D234" s="246" t="s">
        <v>9</v>
      </c>
      <c r="E234" s="38"/>
      <c r="F234" s="247"/>
      <c r="G234" s="208"/>
      <c r="H234" s="38"/>
      <c r="I234" s="38" t="s">
        <v>9</v>
      </c>
      <c r="J234" s="38"/>
      <c r="K234" s="166" t="s">
        <v>18</v>
      </c>
      <c r="L234" s="167" t="s">
        <v>32</v>
      </c>
      <c r="M234" s="251" t="s">
        <v>1164</v>
      </c>
      <c r="N234" s="159" t="s">
        <v>1165</v>
      </c>
      <c r="O234" s="163" t="s">
        <v>1166</v>
      </c>
      <c r="P234" s="165" t="s">
        <v>264</v>
      </c>
      <c r="Q234" s="162" t="s">
        <v>9</v>
      </c>
      <c r="R234" s="162" t="s">
        <v>103</v>
      </c>
      <c r="S234" s="162" t="s">
        <v>112</v>
      </c>
      <c r="T234" s="163" t="s">
        <v>264</v>
      </c>
      <c r="U234" s="163" t="s">
        <v>264</v>
      </c>
      <c r="V234" s="163" t="s">
        <v>1167</v>
      </c>
      <c r="W234" s="164"/>
      <c r="X234" s="15" t="s">
        <v>1385</v>
      </c>
      <c r="Y234" s="163" t="s">
        <v>1168</v>
      </c>
      <c r="Z234" s="59" t="str">
        <f>IF(OR($M234="",NOT($O234="{array}")),"",IFERROR(MATCH(PARAMETERS!$M234,DEFAULT!$B$5:$CI$5,0),""))</f>
        <v/>
      </c>
      <c r="AA234" s="56" t="str">
        <f t="shared" si="1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IF($AA234="","",IF($B234="I",VLOOKUP($AA234,#REF!,53,0),INDEX(VALUES!$B$1:$BF$1,1,$AA234)))</f>
        <v/>
      </c>
    </row>
    <row r="235" spans="1:29" outlineLevel="1" x14ac:dyDescent="0.3">
      <c r="A235" s="22" t="s">
        <v>84</v>
      </c>
      <c r="B235" s="41" t="str">
        <f t="shared" si="16"/>
        <v/>
      </c>
      <c r="C235" s="42">
        <f t="shared" si="15"/>
        <v>234</v>
      </c>
      <c r="D235" s="246" t="s">
        <v>9</v>
      </c>
      <c r="E235" s="38"/>
      <c r="F235" s="247"/>
      <c r="G235" s="208"/>
      <c r="H235" s="38"/>
      <c r="I235" s="38" t="s">
        <v>9</v>
      </c>
      <c r="J235" s="38"/>
      <c r="K235" s="166" t="s">
        <v>18</v>
      </c>
      <c r="L235" s="167" t="s">
        <v>32</v>
      </c>
      <c r="M235" s="251" t="s">
        <v>1169</v>
      </c>
      <c r="N235" s="163" t="s">
        <v>1170</v>
      </c>
      <c r="O235" s="166" t="s">
        <v>966</v>
      </c>
      <c r="P235" s="165" t="s">
        <v>264</v>
      </c>
      <c r="Q235" s="162" t="s">
        <v>9</v>
      </c>
      <c r="R235" s="162" t="s">
        <v>103</v>
      </c>
      <c r="S235" s="162" t="s">
        <v>112</v>
      </c>
      <c r="T235" s="163" t="s">
        <v>264</v>
      </c>
      <c r="U235" s="163" t="s">
        <v>264</v>
      </c>
      <c r="V235" s="163" t="s">
        <v>1104</v>
      </c>
      <c r="W235" s="164"/>
      <c r="X235" s="15" t="s">
        <v>122</v>
      </c>
      <c r="Y235" s="163" t="s">
        <v>1105</v>
      </c>
      <c r="Z235" s="59" t="str">
        <f>IF(OR($M235="",NOT($O235="{array}")),"",IFERROR(MATCH(PARAMETERS!$M235,DEFAULT!$B$5:$CI$5,0),""))</f>
        <v/>
      </c>
      <c r="AA235" s="56" t="str">
        <f t="shared" si="1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IF($AA235="","",IF($B235="I",VLOOKUP($AA235,#REF!,53,0),INDEX(VALUES!$B$1:$BF$1,1,$AA235)))</f>
        <v/>
      </c>
    </row>
    <row r="236" spans="1:29" outlineLevel="1" x14ac:dyDescent="0.3">
      <c r="A236" s="22" t="s">
        <v>84</v>
      </c>
      <c r="B236" s="41" t="str">
        <f t="shared" si="16"/>
        <v/>
      </c>
      <c r="C236" s="42">
        <f t="shared" si="15"/>
        <v>235</v>
      </c>
      <c r="D236" s="246" t="s">
        <v>9</v>
      </c>
      <c r="E236" s="38"/>
      <c r="F236" s="247"/>
      <c r="G236" s="208"/>
      <c r="H236" s="38"/>
      <c r="I236" s="38" t="s">
        <v>9</v>
      </c>
      <c r="J236" s="38"/>
      <c r="K236" s="166" t="s">
        <v>18</v>
      </c>
      <c r="L236" s="167" t="s">
        <v>21</v>
      </c>
      <c r="M236" s="251" t="s">
        <v>1171</v>
      </c>
      <c r="N236" s="163" t="s">
        <v>1172</v>
      </c>
      <c r="O236" s="166" t="s">
        <v>48</v>
      </c>
      <c r="P236" s="165" t="s">
        <v>264</v>
      </c>
      <c r="Q236" s="162" t="s">
        <v>9</v>
      </c>
      <c r="R236" s="162" t="s">
        <v>103</v>
      </c>
      <c r="S236" s="162" t="s">
        <v>112</v>
      </c>
      <c r="T236" s="163" t="s">
        <v>264</v>
      </c>
      <c r="U236" s="163" t="s">
        <v>264</v>
      </c>
      <c r="V236" s="163" t="s">
        <v>1108</v>
      </c>
      <c r="W236" s="164"/>
      <c r="X236" s="15" t="s">
        <v>122</v>
      </c>
      <c r="Y236" s="163" t="s">
        <v>1109</v>
      </c>
      <c r="Z236" s="59" t="str">
        <f>IF(OR($M236="",NOT($O236="{array}")),"",IFERROR(MATCH(PARAMETERS!$M236,DEFAULT!$B$5:$CI$5,0),""))</f>
        <v/>
      </c>
      <c r="AA236" s="56" t="str">
        <f t="shared" si="1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IF($AA236="","",IF($B236="I",VLOOKUP($AA236,#REF!,53,0),INDEX(VALUES!$B$1:$BF$1,1,$AA236)))</f>
        <v/>
      </c>
    </row>
    <row r="237" spans="1:29" outlineLevel="1" x14ac:dyDescent="0.3">
      <c r="A237" s="22" t="s">
        <v>84</v>
      </c>
      <c r="B237" s="41" t="str">
        <f t="shared" si="16"/>
        <v/>
      </c>
      <c r="C237" s="42">
        <f t="shared" si="15"/>
        <v>236</v>
      </c>
      <c r="D237" s="246" t="s">
        <v>9</v>
      </c>
      <c r="E237" s="38"/>
      <c r="F237" s="247"/>
      <c r="G237" s="208"/>
      <c r="H237" s="38"/>
      <c r="I237" s="38" t="s">
        <v>9</v>
      </c>
      <c r="J237" s="38"/>
      <c r="K237" s="166" t="s">
        <v>18</v>
      </c>
      <c r="L237" s="167" t="s">
        <v>32</v>
      </c>
      <c r="M237" s="251" t="s">
        <v>1173</v>
      </c>
      <c r="N237" s="159" t="s">
        <v>1174</v>
      </c>
      <c r="O237" s="163" t="s">
        <v>1157</v>
      </c>
      <c r="P237" s="165" t="s">
        <v>264</v>
      </c>
      <c r="Q237" s="162" t="s">
        <v>9</v>
      </c>
      <c r="R237" s="162" t="s">
        <v>103</v>
      </c>
      <c r="S237" s="162" t="s">
        <v>112</v>
      </c>
      <c r="T237" s="163" t="s">
        <v>264</v>
      </c>
      <c r="U237" s="163" t="s">
        <v>264</v>
      </c>
      <c r="V237" s="163" t="s">
        <v>1175</v>
      </c>
      <c r="W237" s="164"/>
      <c r="X237" s="15" t="s">
        <v>1385</v>
      </c>
      <c r="Y237" s="163" t="s">
        <v>1176</v>
      </c>
      <c r="Z237" s="59" t="str">
        <f>IF(OR($M237="",NOT($O237="{array}")),"",IFERROR(MATCH(PARAMETERS!$M237,DEFAULT!$B$5:$CI$5,0),""))</f>
        <v/>
      </c>
      <c r="AA237" s="56" t="str">
        <f t="shared" si="1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IF($AA237="","",IF($B237="I",VLOOKUP($AA237,#REF!,53,0),INDEX(VALUES!$B$1:$BF$1,1,$AA237)))</f>
        <v/>
      </c>
    </row>
    <row r="238" spans="1:29" outlineLevel="1" x14ac:dyDescent="0.3">
      <c r="A238" s="22" t="s">
        <v>84</v>
      </c>
      <c r="B238" s="41" t="str">
        <f t="shared" si="16"/>
        <v/>
      </c>
      <c r="C238" s="42">
        <f t="shared" si="15"/>
        <v>237</v>
      </c>
      <c r="D238" s="246"/>
      <c r="E238" s="38"/>
      <c r="F238" s="247"/>
      <c r="G238" s="208"/>
      <c r="H238" s="38"/>
      <c r="I238" s="38" t="s">
        <v>9</v>
      </c>
      <c r="J238" s="38"/>
      <c r="K238" s="166" t="s">
        <v>18</v>
      </c>
      <c r="L238" s="167" t="s">
        <v>21</v>
      </c>
      <c r="M238" s="251" t="s">
        <v>1177</v>
      </c>
      <c r="N238" s="159" t="s">
        <v>1178</v>
      </c>
      <c r="O238" s="159" t="s">
        <v>1162</v>
      </c>
      <c r="P238" s="160" t="s">
        <v>264</v>
      </c>
      <c r="Q238" s="171"/>
      <c r="R238" s="162" t="s">
        <v>103</v>
      </c>
      <c r="S238" s="162" t="s">
        <v>112</v>
      </c>
      <c r="T238" s="163" t="s">
        <v>264</v>
      </c>
      <c r="U238" s="163" t="s">
        <v>264</v>
      </c>
      <c r="V238" s="163" t="s">
        <v>1163</v>
      </c>
      <c r="W238" s="164"/>
      <c r="X238" s="15" t="s">
        <v>1385</v>
      </c>
      <c r="Y238" s="163"/>
      <c r="Z238" s="59" t="str">
        <f>IF(OR($M238="",NOT($O238="{array}")),"",IFERROR(MATCH(PARAMETERS!$M238,DEFAULT!$B$5:$CI$5,0),""))</f>
        <v/>
      </c>
      <c r="AA238" s="56" t="str">
        <f t="shared" si="1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IF($AA238="","",IF($B238="I",VLOOKUP($AA238,#REF!,53,0),INDEX(VALUES!$B$1:$BF$1,1,$AA238)))</f>
        <v/>
      </c>
    </row>
    <row r="239" spans="1:29" outlineLevel="1" x14ac:dyDescent="0.3">
      <c r="A239" s="22" t="s">
        <v>84</v>
      </c>
      <c r="B239" s="41" t="str">
        <f t="shared" si="16"/>
        <v/>
      </c>
      <c r="C239" s="42">
        <f t="shared" si="15"/>
        <v>238</v>
      </c>
      <c r="D239" s="246" t="s">
        <v>9</v>
      </c>
      <c r="E239" s="38"/>
      <c r="F239" s="247"/>
      <c r="G239" s="208"/>
      <c r="H239" s="38"/>
      <c r="I239" s="38" t="s">
        <v>9</v>
      </c>
      <c r="J239" s="38"/>
      <c r="K239" s="166" t="s">
        <v>18</v>
      </c>
      <c r="L239" s="167" t="s">
        <v>32</v>
      </c>
      <c r="M239" s="251" t="s">
        <v>1179</v>
      </c>
      <c r="N239" s="159" t="s">
        <v>1180</v>
      </c>
      <c r="O239" s="163" t="s">
        <v>1166</v>
      </c>
      <c r="P239" s="165" t="s">
        <v>264</v>
      </c>
      <c r="Q239" s="162" t="s">
        <v>9</v>
      </c>
      <c r="R239" s="162" t="s">
        <v>103</v>
      </c>
      <c r="S239" s="162" t="s">
        <v>112</v>
      </c>
      <c r="T239" s="163" t="s">
        <v>264</v>
      </c>
      <c r="U239" s="163" t="s">
        <v>264</v>
      </c>
      <c r="V239" s="163" t="s">
        <v>1167</v>
      </c>
      <c r="W239" s="164"/>
      <c r="X239" s="15" t="s">
        <v>1385</v>
      </c>
      <c r="Y239" s="163" t="s">
        <v>1168</v>
      </c>
      <c r="Z239" s="59" t="str">
        <f>IF(OR($M239="",NOT($O239="{array}")),"",IFERROR(MATCH(PARAMETERS!$M239,DEFAULT!$B$5:$CI$5,0),""))</f>
        <v/>
      </c>
      <c r="AA239" s="56" t="str">
        <f t="shared" si="1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IF($AA239="","",IF($B239="I",VLOOKUP($AA239,#REF!,53,0),INDEX(VALUES!$B$1:$BF$1,1,$AA239)))</f>
        <v/>
      </c>
    </row>
    <row r="240" spans="1:29" outlineLevel="1" x14ac:dyDescent="0.3">
      <c r="A240" s="22" t="s">
        <v>84</v>
      </c>
      <c r="B240" s="41" t="str">
        <f t="shared" si="16"/>
        <v/>
      </c>
      <c r="C240" s="42">
        <f t="shared" si="15"/>
        <v>239</v>
      </c>
      <c r="D240" s="246" t="s">
        <v>9</v>
      </c>
      <c r="E240" s="38"/>
      <c r="F240" s="247"/>
      <c r="G240" s="208"/>
      <c r="H240" s="38"/>
      <c r="I240" s="38" t="s">
        <v>9</v>
      </c>
      <c r="J240" s="38"/>
      <c r="K240" s="166" t="s">
        <v>18</v>
      </c>
      <c r="L240" s="167" t="s">
        <v>32</v>
      </c>
      <c r="M240" s="251" t="s">
        <v>1181</v>
      </c>
      <c r="N240" s="163" t="s">
        <v>1182</v>
      </c>
      <c r="O240" s="166" t="s">
        <v>966</v>
      </c>
      <c r="P240" s="165" t="s">
        <v>264</v>
      </c>
      <c r="Q240" s="162" t="s">
        <v>9</v>
      </c>
      <c r="R240" s="162" t="s">
        <v>103</v>
      </c>
      <c r="S240" s="162" t="s">
        <v>112</v>
      </c>
      <c r="T240" s="163" t="s">
        <v>264</v>
      </c>
      <c r="U240" s="163" t="s">
        <v>264</v>
      </c>
      <c r="V240" s="163" t="s">
        <v>1126</v>
      </c>
      <c r="W240" s="164"/>
      <c r="X240" s="15" t="s">
        <v>122</v>
      </c>
      <c r="Y240" s="163" t="s">
        <v>1127</v>
      </c>
      <c r="Z240" s="59" t="str">
        <f>IF(OR($M240="",NOT($O240="{array}")),"",IFERROR(MATCH(PARAMETERS!$M240,DEFAULT!$B$5:$CI$5,0),""))</f>
        <v/>
      </c>
      <c r="AA240" s="56" t="str">
        <f t="shared" si="1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IF($AA240="","",IF($B240="I",VLOOKUP($AA240,#REF!,53,0),INDEX(VALUES!$B$1:$BF$1,1,$AA240)))</f>
        <v/>
      </c>
    </row>
    <row r="241" spans="1:29" outlineLevel="1" x14ac:dyDescent="0.3">
      <c r="A241" s="22" t="s">
        <v>84</v>
      </c>
      <c r="B241" s="41" t="str">
        <f t="shared" si="16"/>
        <v/>
      </c>
      <c r="C241" s="42">
        <f t="shared" si="15"/>
        <v>240</v>
      </c>
      <c r="D241" s="246" t="s">
        <v>9</v>
      </c>
      <c r="E241" s="38"/>
      <c r="F241" s="247"/>
      <c r="G241" s="208"/>
      <c r="H241" s="38"/>
      <c r="I241" s="38" t="s">
        <v>9</v>
      </c>
      <c r="J241" s="38"/>
      <c r="K241" s="166" t="s">
        <v>18</v>
      </c>
      <c r="L241" s="167" t="s">
        <v>21</v>
      </c>
      <c r="M241" s="251" t="s">
        <v>1183</v>
      </c>
      <c r="N241" s="163" t="s">
        <v>1184</v>
      </c>
      <c r="O241" s="166" t="s">
        <v>48</v>
      </c>
      <c r="P241" s="165" t="s">
        <v>264</v>
      </c>
      <c r="Q241" s="162" t="s">
        <v>9</v>
      </c>
      <c r="R241" s="162" t="s">
        <v>103</v>
      </c>
      <c r="S241" s="162" t="s">
        <v>112</v>
      </c>
      <c r="T241" s="163" t="s">
        <v>264</v>
      </c>
      <c r="U241" s="163" t="s">
        <v>264</v>
      </c>
      <c r="V241" s="163" t="s">
        <v>1130</v>
      </c>
      <c r="W241" s="164"/>
      <c r="X241" s="15" t="s">
        <v>122</v>
      </c>
      <c r="Y241" s="163" t="s">
        <v>1131</v>
      </c>
      <c r="Z241" s="59" t="str">
        <f>IF(OR($M241="",NOT($O241="{array}")),"",IFERROR(MATCH(PARAMETERS!$M241,DEFAULT!$B$5:$CI$5,0),""))</f>
        <v/>
      </c>
      <c r="AA241" s="56" t="str">
        <f t="shared" si="1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IF($AA241="","",IF($B241="I",VLOOKUP($AA241,#REF!,53,0),INDEX(VALUES!$B$1:$BF$1,1,$AA241)))</f>
        <v/>
      </c>
    </row>
    <row r="242" spans="1:29" outlineLevel="1" x14ac:dyDescent="0.3">
      <c r="A242" s="22" t="s">
        <v>84</v>
      </c>
      <c r="B242" s="41" t="str">
        <f t="shared" si="16"/>
        <v/>
      </c>
      <c r="C242" s="42">
        <f t="shared" si="15"/>
        <v>241</v>
      </c>
      <c r="D242" s="246" t="s">
        <v>9</v>
      </c>
      <c r="E242" s="38"/>
      <c r="F242" s="247"/>
      <c r="G242" s="208"/>
      <c r="H242" s="38"/>
      <c r="I242" s="38" t="s">
        <v>9</v>
      </c>
      <c r="J242" s="38"/>
      <c r="K242" s="166" t="s">
        <v>18</v>
      </c>
      <c r="L242" s="167" t="s">
        <v>32</v>
      </c>
      <c r="M242" s="251" t="s">
        <v>1185</v>
      </c>
      <c r="N242" s="159" t="s">
        <v>1186</v>
      </c>
      <c r="O242" s="163" t="s">
        <v>1187</v>
      </c>
      <c r="P242" s="165" t="s">
        <v>264</v>
      </c>
      <c r="Q242" s="162" t="s">
        <v>9</v>
      </c>
      <c r="R242" s="162" t="s">
        <v>103</v>
      </c>
      <c r="S242" s="162" t="s">
        <v>112</v>
      </c>
      <c r="T242" s="163" t="s">
        <v>264</v>
      </c>
      <c r="U242" s="163" t="s">
        <v>264</v>
      </c>
      <c r="V242" s="163" t="s">
        <v>1175</v>
      </c>
      <c r="W242" s="164"/>
      <c r="X242" s="15" t="s">
        <v>1385</v>
      </c>
      <c r="Y242" s="163" t="s">
        <v>1176</v>
      </c>
      <c r="Z242" s="59" t="str">
        <f>IF(OR($M242="",NOT($O242="{array}")),"",IFERROR(MATCH(PARAMETERS!$M242,DEFAULT!$B$5:$CI$5,0),""))</f>
        <v/>
      </c>
      <c r="AA242" s="56" t="str">
        <f t="shared" si="1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IF($AA242="","",IF($B242="I",VLOOKUP($AA242,#REF!,53,0),INDEX(VALUES!$B$1:$BF$1,1,$AA242)))</f>
        <v/>
      </c>
    </row>
    <row r="243" spans="1:29" outlineLevel="1" x14ac:dyDescent="0.3">
      <c r="A243" s="22" t="s">
        <v>84</v>
      </c>
      <c r="B243" s="41" t="str">
        <f t="shared" si="16"/>
        <v/>
      </c>
      <c r="C243" s="42">
        <f t="shared" si="15"/>
        <v>242</v>
      </c>
      <c r="D243" s="246" t="s">
        <v>9</v>
      </c>
      <c r="E243" s="38"/>
      <c r="F243" s="247"/>
      <c r="G243" s="208"/>
      <c r="H243" s="38"/>
      <c r="I243" s="38" t="s">
        <v>9</v>
      </c>
      <c r="J243" s="38"/>
      <c r="K243" s="166" t="s">
        <v>18</v>
      </c>
      <c r="L243" s="167" t="s">
        <v>21</v>
      </c>
      <c r="M243" s="251" t="s">
        <v>1188</v>
      </c>
      <c r="N243" s="159" t="s">
        <v>1189</v>
      </c>
      <c r="O243" s="159" t="s">
        <v>1162</v>
      </c>
      <c r="P243" s="160" t="s">
        <v>264</v>
      </c>
      <c r="Q243" s="171"/>
      <c r="R243" s="162" t="s">
        <v>103</v>
      </c>
      <c r="S243" s="162" t="s">
        <v>112</v>
      </c>
      <c r="T243" s="163" t="s">
        <v>264</v>
      </c>
      <c r="U243" s="163" t="s">
        <v>264</v>
      </c>
      <c r="V243" s="163" t="s">
        <v>1163</v>
      </c>
      <c r="W243" s="164"/>
      <c r="X243" s="15" t="s">
        <v>1385</v>
      </c>
      <c r="Y243" s="163"/>
      <c r="Z243" s="59" t="str">
        <f>IF(OR($M243="",NOT($O243="{array}")),"",IFERROR(MATCH(PARAMETERS!$M243,DEFAULT!$B$5:$CI$5,0),""))</f>
        <v/>
      </c>
      <c r="AA243" s="56" t="str">
        <f t="shared" si="1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IF($AA243="","",IF($B243="I",VLOOKUP($AA243,#REF!,53,0),INDEX(VALUES!$B$1:$BF$1,1,$AA243)))</f>
        <v/>
      </c>
    </row>
    <row r="244" spans="1:29" outlineLevel="1" x14ac:dyDescent="0.3">
      <c r="A244" s="22" t="s">
        <v>84</v>
      </c>
      <c r="B244" s="41" t="str">
        <f t="shared" si="16"/>
        <v/>
      </c>
      <c r="C244" s="42">
        <f t="shared" si="15"/>
        <v>243</v>
      </c>
      <c r="D244" s="246" t="s">
        <v>9</v>
      </c>
      <c r="E244" s="38"/>
      <c r="F244" s="247"/>
      <c r="G244" s="208"/>
      <c r="H244" s="38"/>
      <c r="I244" s="38" t="s">
        <v>9</v>
      </c>
      <c r="J244" s="38"/>
      <c r="K244" s="166" t="s">
        <v>18</v>
      </c>
      <c r="L244" s="167" t="s">
        <v>21</v>
      </c>
      <c r="M244" s="251" t="s">
        <v>1190</v>
      </c>
      <c r="N244" s="159" t="s">
        <v>1191</v>
      </c>
      <c r="O244" s="163" t="s">
        <v>968</v>
      </c>
      <c r="P244" s="165" t="s">
        <v>264</v>
      </c>
      <c r="Q244" s="162" t="s">
        <v>9</v>
      </c>
      <c r="R244" s="162" t="s">
        <v>103</v>
      </c>
      <c r="S244" s="162" t="s">
        <v>112</v>
      </c>
      <c r="T244" s="163" t="s">
        <v>264</v>
      </c>
      <c r="U244" s="163" t="s">
        <v>264</v>
      </c>
      <c r="V244" s="163" t="s">
        <v>1167</v>
      </c>
      <c r="W244" s="164"/>
      <c r="X244" s="15" t="s">
        <v>1385</v>
      </c>
      <c r="Y244" s="163" t="s">
        <v>1168</v>
      </c>
      <c r="Z244" s="59" t="str">
        <f>IF(OR($M244="",NOT($O244="{array}")),"",IFERROR(MATCH(PARAMETERS!$M244,DEFAULT!$B$5:$CI$5,0),""))</f>
        <v/>
      </c>
      <c r="AA244" s="56" t="str">
        <f t="shared" ref="AA244:AA319" si="17">IF($M244="","",IFERROR(MATCH($M244,VALUESnames,0),""))</f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IF($AA244="","",IF($B244="I",VLOOKUP($AA244,#REF!,53,0),INDEX(VALUES!$B$1:$BF$1,1,$AA244)))</f>
        <v/>
      </c>
    </row>
    <row r="245" spans="1:29" outlineLevel="1" x14ac:dyDescent="0.3">
      <c r="A245" s="22" t="s">
        <v>84</v>
      </c>
      <c r="B245" s="41" t="str">
        <f t="shared" si="16"/>
        <v/>
      </c>
      <c r="C245" s="42">
        <f t="shared" si="15"/>
        <v>244</v>
      </c>
      <c r="D245" s="246" t="s">
        <v>9</v>
      </c>
      <c r="E245" s="38"/>
      <c r="F245" s="247"/>
      <c r="G245" s="208"/>
      <c r="H245" s="38"/>
      <c r="I245" s="38" t="s">
        <v>9</v>
      </c>
      <c r="J245" s="38"/>
      <c r="K245" s="166" t="s">
        <v>18</v>
      </c>
      <c r="L245" s="167" t="s">
        <v>32</v>
      </c>
      <c r="M245" s="251" t="s">
        <v>1192</v>
      </c>
      <c r="N245" s="159" t="s">
        <v>1193</v>
      </c>
      <c r="O245" s="166" t="s">
        <v>966</v>
      </c>
      <c r="P245" s="176" t="s">
        <v>264</v>
      </c>
      <c r="Q245" s="178" t="s">
        <v>9</v>
      </c>
      <c r="R245" s="178" t="s">
        <v>103</v>
      </c>
      <c r="S245" s="178" t="s">
        <v>112</v>
      </c>
      <c r="T245" s="159" t="s">
        <v>264</v>
      </c>
      <c r="U245" s="159" t="s">
        <v>264</v>
      </c>
      <c r="V245" s="159" t="s">
        <v>1126</v>
      </c>
      <c r="W245" s="253"/>
      <c r="X245" s="15" t="s">
        <v>122</v>
      </c>
      <c r="Y245" s="159" t="s">
        <v>1127</v>
      </c>
      <c r="Z245" s="59" t="str">
        <f>IF(OR($M245="",NOT($O245="{array}")),"",IFERROR(MATCH(PARAMETERS!$M245,DEFAULT!$B$5:$CI$5,0),""))</f>
        <v/>
      </c>
      <c r="AA245" s="56" t="str">
        <f t="shared" si="17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IF($AA245="","",IF($B245="I",VLOOKUP($AA245,#REF!,53,0),INDEX(VALUES!$B$1:$BF$1,1,$AA245)))</f>
        <v/>
      </c>
    </row>
    <row r="246" spans="1:29" outlineLevel="1" x14ac:dyDescent="0.3">
      <c r="A246" s="22" t="s">
        <v>84</v>
      </c>
      <c r="B246" s="41" t="str">
        <f t="shared" si="16"/>
        <v/>
      </c>
      <c r="C246" s="42">
        <f t="shared" si="15"/>
        <v>245</v>
      </c>
      <c r="D246" s="246" t="s">
        <v>9</v>
      </c>
      <c r="E246" s="38"/>
      <c r="F246" s="247"/>
      <c r="G246" s="208"/>
      <c r="H246" s="38"/>
      <c r="I246" s="38" t="s">
        <v>9</v>
      </c>
      <c r="J246" s="38"/>
      <c r="K246" s="166" t="s">
        <v>18</v>
      </c>
      <c r="L246" s="167" t="s">
        <v>21</v>
      </c>
      <c r="M246" s="251" t="s">
        <v>1194</v>
      </c>
      <c r="N246" s="159" t="s">
        <v>1195</v>
      </c>
      <c r="O246" s="166" t="s">
        <v>48</v>
      </c>
      <c r="P246" s="176" t="s">
        <v>264</v>
      </c>
      <c r="Q246" s="178" t="s">
        <v>9</v>
      </c>
      <c r="R246" s="178" t="s">
        <v>103</v>
      </c>
      <c r="S246" s="178" t="s">
        <v>112</v>
      </c>
      <c r="T246" s="159" t="s">
        <v>264</v>
      </c>
      <c r="U246" s="159" t="s">
        <v>264</v>
      </c>
      <c r="V246" s="159" t="s">
        <v>1130</v>
      </c>
      <c r="W246" s="253"/>
      <c r="X246" s="15" t="s">
        <v>122</v>
      </c>
      <c r="Y246" s="159" t="s">
        <v>1131</v>
      </c>
      <c r="Z246" s="59" t="str">
        <f>IF(OR($M246="",NOT($O246="{array}")),"",IFERROR(MATCH(PARAMETERS!$M246,DEFAULT!$B$5:$CI$5,0),""))</f>
        <v/>
      </c>
      <c r="AA246" s="56" t="str">
        <f t="shared" si="17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IF($AA246="","",IF($B246="I",VLOOKUP($AA246,#REF!,53,0),INDEX(VALUES!$B$1:$BF$1,1,$AA246)))</f>
        <v/>
      </c>
    </row>
    <row r="247" spans="1:29" x14ac:dyDescent="0.3">
      <c r="A247" s="22" t="s">
        <v>84</v>
      </c>
      <c r="B247" s="41" t="str">
        <f t="shared" ref="B247:B273" si="18">IF($A247="P",IF(NOT($Z247=""),"A",IF(NOT($AA247=""),"I","")),IF(NOT($AA247=""),IF($A247="G","V","X"),IF(NOT($Z247=""),"A","")))</f>
        <v/>
      </c>
      <c r="C247" s="42">
        <f t="shared" si="15"/>
        <v>246</v>
      </c>
      <c r="D247" s="246"/>
      <c r="E247" s="38"/>
      <c r="F247" s="247"/>
      <c r="G247" s="208"/>
      <c r="H247" s="38"/>
      <c r="I247" s="38"/>
      <c r="J247" s="38"/>
      <c r="K247" s="248" t="s">
        <v>57</v>
      </c>
      <c r="L247" s="248" t="s">
        <v>38</v>
      </c>
      <c r="M247" s="249" t="s">
        <v>1196</v>
      </c>
      <c r="N247" s="250" t="s">
        <v>1197</v>
      </c>
      <c r="R247" s="38" t="s">
        <v>103</v>
      </c>
      <c r="S247" s="38"/>
      <c r="T247" s="38"/>
      <c r="W247" s="15"/>
      <c r="X247" s="15" t="s">
        <v>1385</v>
      </c>
      <c r="Z247" s="59" t="str">
        <f>IF(OR($M247="",NOT($O247="{array}")),"",IFERROR(MATCH(PARAMETERS!$M247,DEFAULT!$B$5:$CI$5,0),""))</f>
        <v/>
      </c>
      <c r="AA247" s="56" t="str">
        <f t="shared" si="17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IF($AA247="","",IF($B247="I",VLOOKUP($AA247,#REF!,53,0),INDEX(VALUES!$B$1:$BF$1,1,$AA247)))</f>
        <v/>
      </c>
    </row>
    <row r="248" spans="1:29" outlineLevel="1" x14ac:dyDescent="0.25">
      <c r="A248" s="22" t="s">
        <v>84</v>
      </c>
      <c r="B248" s="41" t="str">
        <f>IF($A248="P",IF(NOT($Z248=""),"A",IF(NOT($AA248=""),"I","")),IF(NOT($AA248=""),IF($A248="G","V","X"),IF(NOT($Z248=""),"A","")))</f>
        <v/>
      </c>
      <c r="C248" s="42">
        <f t="shared" si="15"/>
        <v>247</v>
      </c>
      <c r="D248" s="246"/>
      <c r="E248" s="38"/>
      <c r="F248" s="247"/>
      <c r="G248" s="208"/>
      <c r="H248" s="38"/>
      <c r="I248" s="38" t="s">
        <v>9</v>
      </c>
      <c r="J248" s="38"/>
      <c r="K248" s="53" t="s">
        <v>18</v>
      </c>
      <c r="L248" s="53" t="s">
        <v>21</v>
      </c>
      <c r="M248" s="203" t="s">
        <v>1198</v>
      </c>
      <c r="N248" s="53" t="s">
        <v>1199</v>
      </c>
      <c r="O248" s="155"/>
      <c r="Q248" s="171" t="s">
        <v>9</v>
      </c>
      <c r="R248" s="171" t="s">
        <v>103</v>
      </c>
      <c r="S248" s="171" t="s">
        <v>112</v>
      </c>
      <c r="T248" s="166" t="s">
        <v>264</v>
      </c>
      <c r="U248" s="166" t="s">
        <v>264</v>
      </c>
      <c r="V248" s="166"/>
      <c r="W248" s="15"/>
      <c r="X248" s="15" t="s">
        <v>1384</v>
      </c>
      <c r="Z248" s="59" t="str">
        <f>IF(OR($M248="",NOT($O248="{array}")),"",IFERROR(MATCH(PARAMETERS!$M248,DEFAULT!$B$5:$CI$5,0),""))</f>
        <v/>
      </c>
      <c r="AA248" s="56" t="str">
        <f t="shared" si="17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IF($AA248="","",IF($B248="I",VLOOKUP($AA248,#REF!,53,0),INDEX(VALUES!$B$1:$BF$1,1,$AA248)))</f>
        <v/>
      </c>
    </row>
    <row r="249" spans="1:29" outlineLevel="1" x14ac:dyDescent="0.25">
      <c r="A249" s="22" t="s">
        <v>84</v>
      </c>
      <c r="B249" s="41" t="str">
        <f>IF($A249="P",IF(NOT($Z249=""),"A",IF(NOT($AA249=""),"I","")),IF(NOT($AA249=""),IF($A249="G","V","X"),IF(NOT($Z249=""),"A","")))</f>
        <v/>
      </c>
      <c r="C249" s="42">
        <f t="shared" si="15"/>
        <v>248</v>
      </c>
      <c r="D249" s="246"/>
      <c r="E249" s="38"/>
      <c r="F249" s="247"/>
      <c r="G249" s="208"/>
      <c r="H249" s="38"/>
      <c r="I249" s="38" t="s">
        <v>9</v>
      </c>
      <c r="J249" s="38"/>
      <c r="K249" s="53" t="s">
        <v>18</v>
      </c>
      <c r="L249" s="53" t="s">
        <v>32</v>
      </c>
      <c r="M249" s="203" t="s">
        <v>1200</v>
      </c>
      <c r="N249" s="53" t="s">
        <v>1201</v>
      </c>
      <c r="O249" s="155"/>
      <c r="Q249" s="171" t="s">
        <v>9</v>
      </c>
      <c r="R249" s="171" t="s">
        <v>103</v>
      </c>
      <c r="S249" s="171" t="s">
        <v>112</v>
      </c>
      <c r="T249" s="166" t="s">
        <v>264</v>
      </c>
      <c r="U249" s="166" t="s">
        <v>264</v>
      </c>
      <c r="V249" s="166" t="s">
        <v>1202</v>
      </c>
      <c r="W249" s="15"/>
      <c r="X249" s="15" t="s">
        <v>1384</v>
      </c>
      <c r="Z249" s="59" t="str">
        <f>IF(OR($M249="",NOT($O249="{array}")),"",IFERROR(MATCH(PARAMETERS!$M249,DEFAULT!$B$5:$CI$5,0),""))</f>
        <v/>
      </c>
      <c r="AA249" s="56" t="str">
        <f t="shared" si="17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IF($AA249="","",IF($B249="I",VLOOKUP($AA249,#REF!,53,0),INDEX(VALUES!$B$1:$BF$1,1,$AA249)))</f>
        <v/>
      </c>
    </row>
    <row r="250" spans="1:29" outlineLevel="1" x14ac:dyDescent="0.25">
      <c r="A250" s="22" t="s">
        <v>84</v>
      </c>
      <c r="B250" s="41" t="str">
        <f>IF($A250="P",IF(NOT($Z250=""),"A",IF(NOT($AA250=""),"I","")),IF(NOT($AA250=""),IF($A250="G","V","X"),IF(NOT($Z250=""),"A","")))</f>
        <v/>
      </c>
      <c r="C250" s="42">
        <f t="shared" si="15"/>
        <v>249</v>
      </c>
      <c r="D250" s="246" t="s">
        <v>9</v>
      </c>
      <c r="E250" s="38"/>
      <c r="F250" s="247"/>
      <c r="G250" s="208"/>
      <c r="H250" s="38"/>
      <c r="I250" s="38" t="s">
        <v>9</v>
      </c>
      <c r="J250" s="38"/>
      <c r="K250" s="166" t="s">
        <v>18</v>
      </c>
      <c r="L250" s="167" t="s">
        <v>32</v>
      </c>
      <c r="M250" s="203" t="s">
        <v>1203</v>
      </c>
      <c r="N250" s="166" t="s">
        <v>1204</v>
      </c>
      <c r="O250" s="166" t="s">
        <v>1205</v>
      </c>
      <c r="P250" s="160" t="s">
        <v>264</v>
      </c>
      <c r="Q250" s="171"/>
      <c r="R250" s="171" t="s">
        <v>103</v>
      </c>
      <c r="S250" s="171" t="s">
        <v>112</v>
      </c>
      <c r="T250" s="166" t="s">
        <v>264</v>
      </c>
      <c r="U250" s="166" t="s">
        <v>264</v>
      </c>
      <c r="V250" s="166" t="s">
        <v>1204</v>
      </c>
      <c r="W250" s="15"/>
      <c r="X250" s="15" t="s">
        <v>1384</v>
      </c>
      <c r="Y250" s="166" t="s">
        <v>1206</v>
      </c>
      <c r="Z250" s="59" t="str">
        <f>IF(OR($M250="",NOT($O250="{array}")),"",IFERROR(MATCH(PARAMETERS!$M250,DEFAULT!$B$5:$CI$5,0),""))</f>
        <v/>
      </c>
      <c r="AA250" s="56" t="str">
        <f t="shared" si="17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IF($AA250="","",IF($B250="I",VLOOKUP($AA250,#REF!,53,0),INDEX(VALUES!$B$1:$BF$1,1,$AA250)))</f>
        <v/>
      </c>
    </row>
    <row r="251" spans="1:29" outlineLevel="1" x14ac:dyDescent="0.25">
      <c r="A251" s="22" t="s">
        <v>84</v>
      </c>
      <c r="B251" s="41" t="str">
        <f t="shared" si="18"/>
        <v/>
      </c>
      <c r="C251" s="42">
        <f t="shared" si="15"/>
        <v>250</v>
      </c>
      <c r="D251" s="246" t="s">
        <v>9</v>
      </c>
      <c r="E251" s="38"/>
      <c r="F251" s="247"/>
      <c r="G251" s="208"/>
      <c r="H251" s="38"/>
      <c r="I251" s="38" t="s">
        <v>9</v>
      </c>
      <c r="J251" s="38"/>
      <c r="K251" s="14" t="s">
        <v>24</v>
      </c>
      <c r="L251" s="14" t="s">
        <v>27</v>
      </c>
      <c r="M251" s="20" t="s">
        <v>1207</v>
      </c>
      <c r="N251" s="53" t="s">
        <v>1208</v>
      </c>
      <c r="O251" s="43">
        <v>5.5E-2</v>
      </c>
      <c r="Q251" s="171" t="s">
        <v>9</v>
      </c>
      <c r="R251" s="38" t="s">
        <v>104</v>
      </c>
      <c r="S251" s="38"/>
      <c r="T251" s="38"/>
      <c r="W251" s="15"/>
      <c r="X251" s="15">
        <v>0.06</v>
      </c>
      <c r="Z251" s="59" t="str">
        <f>IF(OR($M251="",NOT($O251="{array}")),"",IFERROR(MATCH(PARAMETERS!$M251,DEFAULT!$B$5:$CI$5,0),""))</f>
        <v/>
      </c>
      <c r="AA251" s="56" t="str">
        <f t="shared" si="17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IF($AA251="","",IF($B251="I",VLOOKUP($AA251,#REF!,53,0),INDEX(VALUES!$B$1:$BF$1,1,$AA251)))</f>
        <v/>
      </c>
    </row>
    <row r="252" spans="1:29" outlineLevel="1" x14ac:dyDescent="0.25">
      <c r="A252" s="22" t="s">
        <v>84</v>
      </c>
      <c r="B252" s="41" t="str">
        <f t="shared" si="18"/>
        <v/>
      </c>
      <c r="C252" s="42">
        <f t="shared" si="15"/>
        <v>251</v>
      </c>
      <c r="D252" s="246"/>
      <c r="E252" s="38"/>
      <c r="F252" s="247"/>
      <c r="G252" s="208"/>
      <c r="H252" s="38"/>
      <c r="I252" s="38" t="s">
        <v>9</v>
      </c>
      <c r="J252" s="38"/>
      <c r="K252" s="14" t="s">
        <v>24</v>
      </c>
      <c r="L252" s="14" t="s">
        <v>27</v>
      </c>
      <c r="M252" s="203" t="s">
        <v>1209</v>
      </c>
      <c r="N252" s="53" t="s">
        <v>1210</v>
      </c>
      <c r="O252" s="43">
        <v>8.0000000000000002E-3</v>
      </c>
      <c r="Q252" s="171" t="s">
        <v>9</v>
      </c>
      <c r="R252" s="38" t="s">
        <v>104</v>
      </c>
      <c r="S252" s="38"/>
      <c r="T252" s="38"/>
      <c r="W252" s="15"/>
      <c r="X252" s="15" t="s">
        <v>1385</v>
      </c>
      <c r="Z252" s="59" t="str">
        <f>IF(OR($M252="",NOT($O252="{array}")),"",IFERROR(MATCH(PARAMETERS!$M252,DEFAULT!$B$5:$CI$5,0),""))</f>
        <v/>
      </c>
      <c r="AA252" s="56" t="str">
        <f t="shared" si="17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IF($AA252="","",IF($B252="I",VLOOKUP($AA252,#REF!,53,0),INDEX(VALUES!$B$1:$BF$1,1,$AA252)))</f>
        <v/>
      </c>
    </row>
    <row r="253" spans="1:29" outlineLevel="1" x14ac:dyDescent="0.25">
      <c r="A253" s="22" t="s">
        <v>84</v>
      </c>
      <c r="B253" s="41" t="str">
        <f t="shared" si="18"/>
        <v/>
      </c>
      <c r="C253" s="42">
        <f t="shared" si="15"/>
        <v>252</v>
      </c>
      <c r="D253" s="246" t="s">
        <v>9</v>
      </c>
      <c r="E253" s="38"/>
      <c r="F253" s="247"/>
      <c r="G253" s="208"/>
      <c r="H253" s="38"/>
      <c r="I253" s="38" t="s">
        <v>9</v>
      </c>
      <c r="J253" s="38"/>
      <c r="K253" s="14" t="s">
        <v>24</v>
      </c>
      <c r="L253" s="14" t="s">
        <v>27</v>
      </c>
      <c r="M253" s="203" t="s">
        <v>1211</v>
      </c>
      <c r="N253" s="53" t="s">
        <v>1212</v>
      </c>
      <c r="O253" s="43">
        <v>7.1999999999999995E-2</v>
      </c>
      <c r="Q253" s="171" t="s">
        <v>9</v>
      </c>
      <c r="R253" s="38" t="s">
        <v>104</v>
      </c>
      <c r="S253" s="38"/>
      <c r="T253" s="38"/>
      <c r="W253" s="15"/>
      <c r="X253" s="15" t="s">
        <v>1385</v>
      </c>
      <c r="Z253" s="59" t="str">
        <f>IF(OR($M253="",NOT($O253="{array}")),"",IFERROR(MATCH(PARAMETERS!$M253,DEFAULT!$B$5:$CI$5,0),""))</f>
        <v/>
      </c>
      <c r="AA253" s="56" t="str">
        <f t="shared" si="17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IF($AA253="","",IF($B253="I",VLOOKUP($AA253,#REF!,53,0),INDEX(VALUES!$B$1:$BF$1,1,$AA253)))</f>
        <v/>
      </c>
    </row>
    <row r="254" spans="1:29" outlineLevel="1" x14ac:dyDescent="0.25">
      <c r="A254" s="22" t="s">
        <v>84</v>
      </c>
      <c r="B254" s="41" t="str">
        <f t="shared" si="18"/>
        <v/>
      </c>
      <c r="C254" s="42">
        <f t="shared" si="15"/>
        <v>253</v>
      </c>
      <c r="D254" s="246" t="s">
        <v>9</v>
      </c>
      <c r="E254" s="38"/>
      <c r="F254" s="247"/>
      <c r="G254" s="208"/>
      <c r="H254" s="38"/>
      <c r="I254" s="38" t="s">
        <v>9</v>
      </c>
      <c r="J254" s="38"/>
      <c r="K254" s="14" t="s">
        <v>24</v>
      </c>
      <c r="L254" s="14" t="s">
        <v>27</v>
      </c>
      <c r="M254" s="20" t="s">
        <v>1213</v>
      </c>
      <c r="N254" s="53" t="s">
        <v>1214</v>
      </c>
      <c r="O254" s="43">
        <v>5.5E-2</v>
      </c>
      <c r="Q254" s="171" t="s">
        <v>9</v>
      </c>
      <c r="R254" s="38" t="s">
        <v>104</v>
      </c>
      <c r="S254" s="38"/>
      <c r="T254" s="38"/>
      <c r="W254" s="15"/>
      <c r="X254" s="15">
        <v>0.06</v>
      </c>
      <c r="Y254" s="53" t="s">
        <v>1215</v>
      </c>
      <c r="Z254" s="59" t="str">
        <f>IF(OR($M254="",NOT($O254="{array}")),"",IFERROR(MATCH(PARAMETERS!$M254,DEFAULT!$B$5:$CI$5,0),""))</f>
        <v/>
      </c>
      <c r="AA254" s="56" t="str">
        <f t="shared" si="17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IF($AA254="","",IF($B254="I",VLOOKUP($AA254,#REF!,53,0),INDEX(VALUES!$B$1:$BF$1,1,$AA254)))</f>
        <v/>
      </c>
    </row>
    <row r="255" spans="1:29" outlineLevel="1" x14ac:dyDescent="0.25">
      <c r="A255" s="22" t="s">
        <v>84</v>
      </c>
      <c r="B255" s="41" t="str">
        <f t="shared" si="18"/>
        <v/>
      </c>
      <c r="C255" s="42">
        <f t="shared" si="15"/>
        <v>254</v>
      </c>
      <c r="D255" s="246"/>
      <c r="E255" s="38"/>
      <c r="F255" s="247"/>
      <c r="G255" s="208"/>
      <c r="H255" s="38"/>
      <c r="I255" s="38" t="s">
        <v>9</v>
      </c>
      <c r="J255" s="38"/>
      <c r="K255" s="14" t="s">
        <v>24</v>
      </c>
      <c r="L255" s="14" t="s">
        <v>27</v>
      </c>
      <c r="M255" s="203" t="s">
        <v>1216</v>
      </c>
      <c r="N255" s="53" t="s">
        <v>1217</v>
      </c>
      <c r="O255" s="43">
        <v>8.0000000000000002E-3</v>
      </c>
      <c r="Q255" s="171" t="s">
        <v>9</v>
      </c>
      <c r="R255" s="38" t="s">
        <v>104</v>
      </c>
      <c r="S255" s="38"/>
      <c r="T255" s="38"/>
      <c r="W255" s="15"/>
      <c r="X255" s="15" t="s">
        <v>1385</v>
      </c>
      <c r="Y255" s="53" t="s">
        <v>1215</v>
      </c>
      <c r="Z255" s="59" t="str">
        <f>IF(OR($M255="",NOT($O255="{array}")),"",IFERROR(MATCH(PARAMETERS!$M255,DEFAULT!$B$5:$CI$5,0),""))</f>
        <v/>
      </c>
      <c r="AA255" s="56" t="str">
        <f t="shared" si="17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IF($AA255="","",IF($B255="I",VLOOKUP($AA255,#REF!,53,0),INDEX(VALUES!$B$1:$BF$1,1,$AA255)))</f>
        <v/>
      </c>
    </row>
    <row r="256" spans="1:29" outlineLevel="1" x14ac:dyDescent="0.25">
      <c r="A256" s="22" t="s">
        <v>84</v>
      </c>
      <c r="B256" s="41" t="str">
        <f t="shared" si="18"/>
        <v/>
      </c>
      <c r="C256" s="42">
        <f t="shared" si="15"/>
        <v>255</v>
      </c>
      <c r="D256" s="246" t="s">
        <v>9</v>
      </c>
      <c r="E256" s="38"/>
      <c r="F256" s="247"/>
      <c r="G256" s="208"/>
      <c r="H256" s="38"/>
      <c r="I256" s="38" t="s">
        <v>9</v>
      </c>
      <c r="J256" s="38"/>
      <c r="K256" s="14" t="s">
        <v>24</v>
      </c>
      <c r="L256" s="14" t="s">
        <v>27</v>
      </c>
      <c r="M256" s="203" t="s">
        <v>1218</v>
      </c>
      <c r="N256" s="53" t="s">
        <v>1219</v>
      </c>
      <c r="O256" s="43">
        <v>7.1999999999999995E-2</v>
      </c>
      <c r="Q256" s="171" t="s">
        <v>9</v>
      </c>
      <c r="R256" s="38" t="s">
        <v>104</v>
      </c>
      <c r="S256" s="38"/>
      <c r="T256" s="38"/>
      <c r="W256" s="15"/>
      <c r="X256" s="15" t="s">
        <v>1385</v>
      </c>
      <c r="Y256" s="53" t="s">
        <v>1215</v>
      </c>
      <c r="Z256" s="59" t="str">
        <f>IF(OR($M256="",NOT($O256="{array}")),"",IFERROR(MATCH(PARAMETERS!$M256,DEFAULT!$B$5:$CI$5,0),""))</f>
        <v/>
      </c>
      <c r="AA256" s="56" t="str">
        <f t="shared" si="17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IF($AA256="","",IF($B256="I",VLOOKUP($AA256,#REF!,53,0),INDEX(VALUES!$B$1:$BF$1,1,$AA256)))</f>
        <v/>
      </c>
    </row>
    <row r="257" spans="1:29" outlineLevel="1" x14ac:dyDescent="0.25">
      <c r="A257" s="22" t="s">
        <v>84</v>
      </c>
      <c r="B257" s="41" t="str">
        <f t="shared" si="18"/>
        <v/>
      </c>
      <c r="C257" s="42">
        <f t="shared" si="15"/>
        <v>256</v>
      </c>
      <c r="D257" s="246"/>
      <c r="E257" s="38"/>
      <c r="F257" s="247"/>
      <c r="G257" s="208"/>
      <c r="H257" s="38"/>
      <c r="I257" s="38" t="s">
        <v>9</v>
      </c>
      <c r="J257" s="38"/>
      <c r="K257" s="166" t="s">
        <v>18</v>
      </c>
      <c r="L257" s="167" t="s">
        <v>21</v>
      </c>
      <c r="M257" s="203" t="s">
        <v>1220</v>
      </c>
      <c r="N257" s="166" t="s">
        <v>1221</v>
      </c>
      <c r="O257" s="166" t="s">
        <v>447</v>
      </c>
      <c r="P257" s="160" t="s">
        <v>264</v>
      </c>
      <c r="Q257" s="171"/>
      <c r="R257" s="171" t="s">
        <v>195</v>
      </c>
      <c r="S257" s="171" t="s">
        <v>112</v>
      </c>
      <c r="T257" s="166" t="s">
        <v>264</v>
      </c>
      <c r="U257" s="166" t="s">
        <v>264</v>
      </c>
      <c r="V257" s="166"/>
      <c r="W257" s="15"/>
      <c r="X257" s="15" t="s">
        <v>1384</v>
      </c>
      <c r="Y257" s="166"/>
      <c r="Z257" s="59" t="str">
        <f>IF(OR($M257="",NOT($O257="{array}")),"",IFERROR(MATCH(PARAMETERS!$M257,DEFAULT!$B$5:$CI$5,0),""))</f>
        <v/>
      </c>
      <c r="AA257" s="56" t="str">
        <f t="shared" si="17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IF($AA257="","",IF($B257="I",VLOOKUP($AA257,#REF!,53,0),INDEX(VALUES!$B$1:$BF$1,1,$AA257)))</f>
        <v/>
      </c>
    </row>
    <row r="258" spans="1:29" outlineLevel="1" x14ac:dyDescent="0.25">
      <c r="A258" s="22" t="s">
        <v>84</v>
      </c>
      <c r="B258" s="41" t="str">
        <f t="shared" si="18"/>
        <v/>
      </c>
      <c r="C258" s="42">
        <f t="shared" si="15"/>
        <v>257</v>
      </c>
      <c r="D258" s="246" t="s">
        <v>9</v>
      </c>
      <c r="E258" s="38"/>
      <c r="F258" s="247"/>
      <c r="G258" s="208"/>
      <c r="H258" s="38"/>
      <c r="I258" s="38" t="s">
        <v>9</v>
      </c>
      <c r="J258" s="38"/>
      <c r="K258" s="166" t="s">
        <v>18</v>
      </c>
      <c r="L258" s="167" t="s">
        <v>21</v>
      </c>
      <c r="M258" s="203" t="s">
        <v>1222</v>
      </c>
      <c r="N258" s="159" t="s">
        <v>1223</v>
      </c>
      <c r="O258" s="166" t="s">
        <v>965</v>
      </c>
      <c r="P258" s="160" t="s">
        <v>264</v>
      </c>
      <c r="Q258" s="171" t="s">
        <v>9</v>
      </c>
      <c r="R258" s="171" t="s">
        <v>103</v>
      </c>
      <c r="S258" s="171" t="s">
        <v>112</v>
      </c>
      <c r="T258" s="38"/>
      <c r="X258" s="15" t="s">
        <v>1384</v>
      </c>
      <c r="Z258" s="59" t="str">
        <f>IF(OR($M258="",NOT($O258="{array}")),"",IFERROR(MATCH(PARAMETERS!$M258,DEFAULT!$B$5:$CI$5,0),""))</f>
        <v/>
      </c>
      <c r="AA258" s="56" t="str">
        <f t="shared" si="17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IF($AA258="","",IF($B258="I",VLOOKUP($AA258,#REF!,53,0),INDEX(VALUES!$B$1:$BF$1,1,$AA258)))</f>
        <v/>
      </c>
    </row>
    <row r="259" spans="1:29" outlineLevel="1" x14ac:dyDescent="0.25">
      <c r="A259" s="22" t="s">
        <v>84</v>
      </c>
      <c r="B259" s="41" t="str">
        <f t="shared" si="18"/>
        <v/>
      </c>
      <c r="C259" s="42">
        <f t="shared" si="15"/>
        <v>258</v>
      </c>
      <c r="D259" s="246" t="s">
        <v>9</v>
      </c>
      <c r="E259" s="38"/>
      <c r="F259" s="247"/>
      <c r="G259" s="208"/>
      <c r="H259" s="38"/>
      <c r="I259" s="38" t="s">
        <v>9</v>
      </c>
      <c r="J259" s="38"/>
      <c r="K259" s="166" t="s">
        <v>18</v>
      </c>
      <c r="L259" s="167" t="s">
        <v>21</v>
      </c>
      <c r="M259" s="203" t="s">
        <v>1224</v>
      </c>
      <c r="N259" s="166" t="s">
        <v>1225</v>
      </c>
      <c r="O259" s="166" t="s">
        <v>968</v>
      </c>
      <c r="P259" s="160" t="s">
        <v>264</v>
      </c>
      <c r="Q259" s="171" t="s">
        <v>9</v>
      </c>
      <c r="R259" s="171" t="s">
        <v>103</v>
      </c>
      <c r="S259" s="171" t="s">
        <v>112</v>
      </c>
      <c r="T259" s="166" t="s">
        <v>264</v>
      </c>
      <c r="U259" s="166" t="s">
        <v>264</v>
      </c>
      <c r="V259" s="166" t="s">
        <v>1225</v>
      </c>
      <c r="W259" s="15"/>
      <c r="X259" s="15" t="s">
        <v>1384</v>
      </c>
      <c r="Y259" s="166" t="s">
        <v>1226</v>
      </c>
      <c r="Z259" s="59" t="str">
        <f>IF(OR($M259="",NOT($O259="{array}")),"",IFERROR(MATCH(PARAMETERS!$M259,DEFAULT!$B$5:$CI$5,0),""))</f>
        <v/>
      </c>
      <c r="AA259" s="56" t="str">
        <f t="shared" si="17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IF($AA259="","",IF($B259="I",VLOOKUP($AA259,#REF!,53,0),INDEX(VALUES!$B$1:$BF$1,1,$AA259)))</f>
        <v/>
      </c>
    </row>
    <row r="260" spans="1:29" outlineLevel="1" x14ac:dyDescent="0.25">
      <c r="A260" s="22" t="s">
        <v>84</v>
      </c>
      <c r="B260" s="41" t="str">
        <f t="shared" si="18"/>
        <v/>
      </c>
      <c r="C260" s="42">
        <f t="shared" si="15"/>
        <v>259</v>
      </c>
      <c r="D260" s="246" t="s">
        <v>9</v>
      </c>
      <c r="E260" s="38"/>
      <c r="F260" s="247"/>
      <c r="G260" s="208"/>
      <c r="H260" s="38"/>
      <c r="I260" s="38" t="s">
        <v>9</v>
      </c>
      <c r="J260" s="38"/>
      <c r="K260" s="166" t="s">
        <v>44</v>
      </c>
      <c r="L260" s="167" t="s">
        <v>32</v>
      </c>
      <c r="M260" s="203" t="s">
        <v>1227</v>
      </c>
      <c r="N260" s="166" t="s">
        <v>1228</v>
      </c>
      <c r="O260" s="166">
        <v>0</v>
      </c>
      <c r="P260" s="160" t="s">
        <v>264</v>
      </c>
      <c r="Q260" s="171"/>
      <c r="R260" s="171" t="s">
        <v>103</v>
      </c>
      <c r="S260" s="171" t="s">
        <v>112</v>
      </c>
      <c r="T260" s="166" t="s">
        <v>264</v>
      </c>
      <c r="U260" s="166" t="s">
        <v>264</v>
      </c>
      <c r="V260" s="166" t="s">
        <v>1229</v>
      </c>
      <c r="W260" s="15"/>
      <c r="X260" s="15" t="s">
        <v>1384</v>
      </c>
      <c r="Y260" s="166" t="s">
        <v>1230</v>
      </c>
      <c r="Z260" s="59" t="str">
        <f>IF(OR($M260="",NOT($O260="{array}")),"",IFERROR(MATCH(PARAMETERS!$M260,DEFAULT!$B$5:$CI$5,0),""))</f>
        <v/>
      </c>
      <c r="AA260" s="56" t="str">
        <f t="shared" si="17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IF($AA260="","",IF($B260="I",VLOOKUP($AA260,#REF!,53,0),INDEX(VALUES!$B$1:$BF$1,1,$AA260)))</f>
        <v/>
      </c>
    </row>
    <row r="261" spans="1:29" outlineLevel="1" x14ac:dyDescent="0.25">
      <c r="A261" s="22" t="s">
        <v>84</v>
      </c>
      <c r="B261" s="41" t="str">
        <f t="shared" si="18"/>
        <v/>
      </c>
      <c r="C261" s="42">
        <f t="shared" si="15"/>
        <v>260</v>
      </c>
      <c r="D261" s="246" t="s">
        <v>9</v>
      </c>
      <c r="E261" s="38"/>
      <c r="F261" s="247"/>
      <c r="G261" s="208"/>
      <c r="H261" s="38"/>
      <c r="I261" s="38" t="s">
        <v>9</v>
      </c>
      <c r="J261" s="38"/>
      <c r="K261" s="166" t="s">
        <v>44</v>
      </c>
      <c r="L261" s="167" t="s">
        <v>32</v>
      </c>
      <c r="M261" s="203" t="s">
        <v>1231</v>
      </c>
      <c r="N261" s="166" t="s">
        <v>1232</v>
      </c>
      <c r="O261" s="166">
        <v>0</v>
      </c>
      <c r="P261" s="160" t="s">
        <v>264</v>
      </c>
      <c r="Q261" s="171"/>
      <c r="R261" s="171" t="s">
        <v>103</v>
      </c>
      <c r="S261" s="171" t="s">
        <v>112</v>
      </c>
      <c r="T261" s="166" t="s">
        <v>264</v>
      </c>
      <c r="U261" s="166" t="s">
        <v>264</v>
      </c>
      <c r="V261" s="166" t="s">
        <v>1232</v>
      </c>
      <c r="W261" s="15"/>
      <c r="X261" s="15" t="s">
        <v>1384</v>
      </c>
      <c r="Y261" s="166" t="s">
        <v>1233</v>
      </c>
      <c r="Z261" s="59" t="str">
        <f>IF(OR($M261="",NOT($O261="{array}")),"",IFERROR(MATCH(PARAMETERS!$M261,DEFAULT!$B$5:$CI$5,0),""))</f>
        <v/>
      </c>
      <c r="AA261" s="56" t="str">
        <f t="shared" si="17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IF($AA261="","",IF($B261="I",VLOOKUP($AA261,#REF!,53,0),INDEX(VALUES!$B$1:$BF$1,1,$AA261)))</f>
        <v/>
      </c>
    </row>
    <row r="262" spans="1:29" outlineLevel="1" x14ac:dyDescent="0.25">
      <c r="A262" s="22" t="s">
        <v>84</v>
      </c>
      <c r="B262" s="41" t="str">
        <f t="shared" si="18"/>
        <v/>
      </c>
      <c r="C262" s="42">
        <f t="shared" si="15"/>
        <v>261</v>
      </c>
      <c r="D262" s="246"/>
      <c r="E262" s="38"/>
      <c r="F262" s="247"/>
      <c r="G262" s="208"/>
      <c r="H262" s="38"/>
      <c r="I262" s="38" t="s">
        <v>9</v>
      </c>
      <c r="J262" s="38"/>
      <c r="K262" s="166" t="s">
        <v>18</v>
      </c>
      <c r="L262" s="167" t="s">
        <v>21</v>
      </c>
      <c r="M262" s="203" t="s">
        <v>1234</v>
      </c>
      <c r="N262" s="166" t="s">
        <v>1235</v>
      </c>
      <c r="O262" s="166" t="s">
        <v>1236</v>
      </c>
      <c r="P262" s="160" t="s">
        <v>264</v>
      </c>
      <c r="Q262" s="171"/>
      <c r="R262" s="171" t="s">
        <v>103</v>
      </c>
      <c r="S262" s="171" t="s">
        <v>112</v>
      </c>
      <c r="T262" s="166" t="s">
        <v>264</v>
      </c>
      <c r="U262" s="166" t="s">
        <v>264</v>
      </c>
      <c r="V262" s="166" t="s">
        <v>1235</v>
      </c>
      <c r="W262" s="15"/>
      <c r="X262" s="15" t="s">
        <v>1384</v>
      </c>
      <c r="Y262" s="166" t="s">
        <v>1237</v>
      </c>
      <c r="Z262" s="59" t="str">
        <f>IF(OR($M262="",NOT($O262="{array}")),"",IFERROR(MATCH(PARAMETERS!$M262,DEFAULT!$B$5:$CI$5,0),""))</f>
        <v/>
      </c>
      <c r="AA262" s="56" t="str">
        <f t="shared" si="17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IF($AA262="","",IF($B262="I",VLOOKUP($AA262,#REF!,53,0),INDEX(VALUES!$B$1:$BF$1,1,$AA262)))</f>
        <v/>
      </c>
    </row>
    <row r="263" spans="1:29" outlineLevel="1" x14ac:dyDescent="0.25">
      <c r="A263" s="22" t="s">
        <v>84</v>
      </c>
      <c r="B263" s="41" t="str">
        <f t="shared" si="18"/>
        <v/>
      </c>
      <c r="C263" s="42">
        <f t="shared" si="15"/>
        <v>262</v>
      </c>
      <c r="D263" s="246" t="s">
        <v>9</v>
      </c>
      <c r="E263" s="38"/>
      <c r="F263" s="247"/>
      <c r="G263" s="208"/>
      <c r="H263" s="38"/>
      <c r="I263" s="38" t="s">
        <v>9</v>
      </c>
      <c r="J263" s="38"/>
      <c r="K263" s="166" t="s">
        <v>44</v>
      </c>
      <c r="L263" s="167" t="s">
        <v>21</v>
      </c>
      <c r="M263" s="203" t="s">
        <v>1238</v>
      </c>
      <c r="N263" s="166" t="s">
        <v>1239</v>
      </c>
      <c r="O263" s="166">
        <v>0</v>
      </c>
      <c r="P263" s="160" t="s">
        <v>264</v>
      </c>
      <c r="Q263" s="171"/>
      <c r="R263" s="171" t="s">
        <v>103</v>
      </c>
      <c r="S263" s="171" t="s">
        <v>112</v>
      </c>
      <c r="T263" s="166" t="s">
        <v>264</v>
      </c>
      <c r="U263" s="166" t="s">
        <v>264</v>
      </c>
      <c r="V263" s="166" t="s">
        <v>1239</v>
      </c>
      <c r="W263" s="15"/>
      <c r="X263" s="15" t="s">
        <v>1384</v>
      </c>
      <c r="Y263" s="166" t="s">
        <v>1240</v>
      </c>
      <c r="Z263" s="59" t="str">
        <f>IF(OR($M263="",NOT($O263="{array}")),"",IFERROR(MATCH(PARAMETERS!$M263,DEFAULT!$B$5:$CI$5,0),""))</f>
        <v/>
      </c>
      <c r="AA263" s="56" t="str">
        <f t="shared" si="17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IF($AA263="","",IF($B263="I",VLOOKUP($AA263,#REF!,53,0),INDEX(VALUES!$B$1:$BF$1,1,$AA263)))</f>
        <v/>
      </c>
    </row>
    <row r="264" spans="1:29" outlineLevel="1" x14ac:dyDescent="0.25">
      <c r="A264" s="22" t="s">
        <v>84</v>
      </c>
      <c r="B264" s="41" t="str">
        <f t="shared" si="18"/>
        <v/>
      </c>
      <c r="C264" s="42">
        <f t="shared" si="15"/>
        <v>263</v>
      </c>
      <c r="D264" s="246" t="s">
        <v>9</v>
      </c>
      <c r="E264" s="38"/>
      <c r="F264" s="247"/>
      <c r="G264" s="208"/>
      <c r="H264" s="38"/>
      <c r="I264" s="38" t="s">
        <v>9</v>
      </c>
      <c r="J264" s="38"/>
      <c r="K264" s="166" t="s">
        <v>44</v>
      </c>
      <c r="L264" s="167" t="s">
        <v>21</v>
      </c>
      <c r="M264" s="203" t="s">
        <v>1241</v>
      </c>
      <c r="N264" s="166" t="s">
        <v>1242</v>
      </c>
      <c r="O264" s="166">
        <v>0</v>
      </c>
      <c r="P264" s="160" t="s">
        <v>264</v>
      </c>
      <c r="Q264" s="171"/>
      <c r="R264" s="171" t="s">
        <v>103</v>
      </c>
      <c r="S264" s="171" t="s">
        <v>112</v>
      </c>
      <c r="T264" s="166" t="s">
        <v>264</v>
      </c>
      <c r="U264" s="166" t="s">
        <v>264</v>
      </c>
      <c r="V264" s="166" t="s">
        <v>1242</v>
      </c>
      <c r="W264" s="15"/>
      <c r="X264" s="15" t="s">
        <v>1384</v>
      </c>
      <c r="Y264" s="166" t="s">
        <v>1243</v>
      </c>
      <c r="Z264" s="59" t="str">
        <f>IF(OR($M264="",NOT($O264="{array}")),"",IFERROR(MATCH(PARAMETERS!$M264,DEFAULT!$B$5:$CI$5,0),""))</f>
        <v/>
      </c>
      <c r="AA264" s="56" t="str">
        <f t="shared" si="17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IF($AA264="","",IF($B264="I",VLOOKUP($AA264,#REF!,53,0),INDEX(VALUES!$B$1:$BF$1,1,$AA264)))</f>
        <v/>
      </c>
    </row>
    <row r="265" spans="1:29" outlineLevel="1" x14ac:dyDescent="0.25">
      <c r="A265" s="22" t="s">
        <v>84</v>
      </c>
      <c r="B265" s="41" t="str">
        <f t="shared" si="18"/>
        <v/>
      </c>
      <c r="C265" s="42">
        <f t="shared" si="15"/>
        <v>264</v>
      </c>
      <c r="D265" s="246" t="s">
        <v>9</v>
      </c>
      <c r="E265" s="38"/>
      <c r="F265" s="247"/>
      <c r="G265" s="208"/>
      <c r="H265" s="38"/>
      <c r="I265" s="38" t="s">
        <v>9</v>
      </c>
      <c r="J265" s="38"/>
      <c r="K265" s="166" t="s">
        <v>44</v>
      </c>
      <c r="L265" s="167" t="s">
        <v>21</v>
      </c>
      <c r="M265" s="203" t="s">
        <v>1244</v>
      </c>
      <c r="N265" s="166" t="s">
        <v>1245</v>
      </c>
      <c r="O265" s="166">
        <v>0</v>
      </c>
      <c r="P265" s="160" t="s">
        <v>264</v>
      </c>
      <c r="Q265" s="171"/>
      <c r="R265" s="171" t="s">
        <v>103</v>
      </c>
      <c r="S265" s="171" t="s">
        <v>112</v>
      </c>
      <c r="T265" s="166" t="s">
        <v>264</v>
      </c>
      <c r="U265" s="166" t="s">
        <v>264</v>
      </c>
      <c r="V265" s="166" t="s">
        <v>1245</v>
      </c>
      <c r="W265" s="15"/>
      <c r="X265" s="15" t="s">
        <v>1384</v>
      </c>
      <c r="Y265" s="166" t="s">
        <v>1246</v>
      </c>
      <c r="Z265" s="59" t="str">
        <f>IF(OR($M265="",NOT($O265="{array}")),"",IFERROR(MATCH(PARAMETERS!$M265,DEFAULT!$B$5:$CI$5,0),""))</f>
        <v/>
      </c>
      <c r="AA265" s="56" t="str">
        <f t="shared" si="17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IF($AA265="","",IF($B265="I",VLOOKUP($AA265,#REF!,53,0),INDEX(VALUES!$B$1:$BF$1,1,$AA265)))</f>
        <v/>
      </c>
    </row>
    <row r="266" spans="1:29" outlineLevel="1" x14ac:dyDescent="0.25">
      <c r="A266" s="22" t="s">
        <v>84</v>
      </c>
      <c r="B266" s="41" t="str">
        <f t="shared" si="18"/>
        <v/>
      </c>
      <c r="C266" s="42">
        <f t="shared" si="15"/>
        <v>265</v>
      </c>
      <c r="D266" s="246" t="s">
        <v>9</v>
      </c>
      <c r="E266" s="38"/>
      <c r="F266" s="247"/>
      <c r="G266" s="208"/>
      <c r="H266" s="38"/>
      <c r="I266" s="38" t="s">
        <v>9</v>
      </c>
      <c r="J266" s="38"/>
      <c r="K266" s="166" t="s">
        <v>18</v>
      </c>
      <c r="L266" s="167" t="s">
        <v>21</v>
      </c>
      <c r="M266" s="203" t="s">
        <v>1247</v>
      </c>
      <c r="N266" s="166" t="s">
        <v>1248</v>
      </c>
      <c r="O266" s="166" t="s">
        <v>1249</v>
      </c>
      <c r="P266" s="160" t="s">
        <v>264</v>
      </c>
      <c r="Q266" s="171"/>
      <c r="R266" s="171" t="s">
        <v>103</v>
      </c>
      <c r="S266" s="171" t="s">
        <v>112</v>
      </c>
      <c r="T266" s="166" t="s">
        <v>264</v>
      </c>
      <c r="U266" s="166" t="s">
        <v>264</v>
      </c>
      <c r="V266" s="166" t="s">
        <v>1248</v>
      </c>
      <c r="W266" s="15"/>
      <c r="X266" s="15" t="s">
        <v>1384</v>
      </c>
      <c r="Y266" s="166" t="s">
        <v>1250</v>
      </c>
      <c r="Z266" s="59" t="str">
        <f>IF(OR($M266="",NOT($O266="{array}")),"",IFERROR(MATCH(PARAMETERS!$M266,DEFAULT!$B$5:$CI$5,0),""))</f>
        <v/>
      </c>
      <c r="AA266" s="56" t="str">
        <f t="shared" si="17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IF($AA266="","",IF($B266="I",VLOOKUP($AA266,#REF!,53,0),INDEX(VALUES!$B$1:$BF$1,1,$AA266)))</f>
        <v/>
      </c>
    </row>
    <row r="267" spans="1:29" outlineLevel="1" x14ac:dyDescent="0.25">
      <c r="A267" s="22" t="s">
        <v>84</v>
      </c>
      <c r="B267" s="41" t="str">
        <f t="shared" si="18"/>
        <v/>
      </c>
      <c r="C267" s="42">
        <f t="shared" si="15"/>
        <v>266</v>
      </c>
      <c r="D267" s="246"/>
      <c r="E267" s="38"/>
      <c r="F267" s="247"/>
      <c r="G267" s="208"/>
      <c r="H267" s="38"/>
      <c r="I267" s="38" t="s">
        <v>9</v>
      </c>
      <c r="J267" s="38"/>
      <c r="K267" s="166" t="s">
        <v>44</v>
      </c>
      <c r="L267" s="167" t="s">
        <v>32</v>
      </c>
      <c r="M267" s="203" t="s">
        <v>1251</v>
      </c>
      <c r="N267" s="166" t="s">
        <v>1252</v>
      </c>
      <c r="O267" s="166">
        <v>0</v>
      </c>
      <c r="P267" s="160" t="s">
        <v>264</v>
      </c>
      <c r="Q267" s="171"/>
      <c r="R267" s="171" t="s">
        <v>103</v>
      </c>
      <c r="S267" s="171" t="s">
        <v>112</v>
      </c>
      <c r="T267" s="166" t="s">
        <v>264</v>
      </c>
      <c r="U267" s="166" t="s">
        <v>264</v>
      </c>
      <c r="V267" s="166"/>
      <c r="W267" s="15"/>
      <c r="X267" s="15" t="s">
        <v>1384</v>
      </c>
      <c r="Y267" s="166"/>
      <c r="Z267" s="59" t="str">
        <f>IF(OR($M267="",NOT($O267="{array}")),"",IFERROR(MATCH(PARAMETERS!$M267,DEFAULT!$B$5:$CI$5,0),""))</f>
        <v/>
      </c>
      <c r="AA267" s="56" t="str">
        <f t="shared" si="17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IF($AA267="","",IF($B267="I",VLOOKUP($AA267,#REF!,53,0),INDEX(VALUES!$B$1:$BF$1,1,$AA267)))</f>
        <v/>
      </c>
    </row>
    <row r="268" spans="1:29" outlineLevel="1" x14ac:dyDescent="0.25">
      <c r="A268" s="22" t="s">
        <v>84</v>
      </c>
      <c r="B268" s="41" t="str">
        <f t="shared" si="18"/>
        <v/>
      </c>
      <c r="C268" s="42">
        <f t="shared" si="15"/>
        <v>267</v>
      </c>
      <c r="D268" s="246" t="s">
        <v>9</v>
      </c>
      <c r="E268" s="38"/>
      <c r="F268" s="247"/>
      <c r="G268" s="208"/>
      <c r="H268" s="38"/>
      <c r="I268" s="38" t="s">
        <v>9</v>
      </c>
      <c r="J268" s="38"/>
      <c r="K268" s="166" t="s">
        <v>44</v>
      </c>
      <c r="L268" s="167" t="s">
        <v>32</v>
      </c>
      <c r="M268" s="203" t="s">
        <v>1253</v>
      </c>
      <c r="N268" s="166" t="s">
        <v>1254</v>
      </c>
      <c r="O268" s="166">
        <v>0</v>
      </c>
      <c r="P268" s="160" t="s">
        <v>264</v>
      </c>
      <c r="Q268" s="171" t="s">
        <v>9</v>
      </c>
      <c r="R268" s="171" t="s">
        <v>103</v>
      </c>
      <c r="S268" s="171" t="s">
        <v>112</v>
      </c>
      <c r="T268" s="166" t="s">
        <v>264</v>
      </c>
      <c r="U268" s="166" t="s">
        <v>264</v>
      </c>
      <c r="V268" s="166" t="s">
        <v>1255</v>
      </c>
      <c r="W268" s="15"/>
      <c r="X268" s="15" t="s">
        <v>1384</v>
      </c>
      <c r="Y268" s="166" t="s">
        <v>1256</v>
      </c>
      <c r="Z268" s="59" t="str">
        <f>IF(OR($M268="",NOT($O268="{array}")),"",IFERROR(MATCH(PARAMETERS!$M268,DEFAULT!$B$5:$CI$5,0),""))</f>
        <v/>
      </c>
      <c r="AA268" s="56" t="str">
        <f t="shared" si="17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IF($AA268="","",IF($B268="I",VLOOKUP($AA268,#REF!,53,0),INDEX(VALUES!$B$1:$BF$1,1,$AA268)))</f>
        <v/>
      </c>
    </row>
    <row r="269" spans="1:29" x14ac:dyDescent="0.3">
      <c r="A269" s="22" t="s">
        <v>84</v>
      </c>
      <c r="B269" s="41" t="str">
        <f t="shared" si="18"/>
        <v/>
      </c>
      <c r="C269" s="42">
        <f t="shared" si="15"/>
        <v>268</v>
      </c>
      <c r="D269" s="246"/>
      <c r="E269" s="38"/>
      <c r="F269" s="247"/>
      <c r="G269" s="208"/>
      <c r="H269" s="38"/>
      <c r="I269" s="38"/>
      <c r="J269" s="38"/>
      <c r="K269" s="248" t="s">
        <v>57</v>
      </c>
      <c r="L269" s="248" t="s">
        <v>38</v>
      </c>
      <c r="M269" s="249" t="s">
        <v>1257</v>
      </c>
      <c r="N269" s="250" t="s">
        <v>1258</v>
      </c>
      <c r="R269" s="38" t="s">
        <v>104</v>
      </c>
      <c r="S269" s="38"/>
      <c r="T269" s="38"/>
      <c r="W269" s="15"/>
      <c r="X269" s="15" t="s">
        <v>1385</v>
      </c>
      <c r="Z269" s="59" t="str">
        <f>IF(OR($M269="",NOT($O269="{array}")),"",IFERROR(MATCH(PARAMETERS!$M269,DEFAULT!$B$5:$CI$5,0),""))</f>
        <v/>
      </c>
      <c r="AA269" s="56" t="str">
        <f t="shared" si="17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IF($AA269="","",IF($B269="I",VLOOKUP($AA269,#REF!,53,0),INDEX(VALUES!$B$1:$BF$1,1,$AA269)))</f>
        <v/>
      </c>
    </row>
    <row r="270" spans="1:29" outlineLevel="1" x14ac:dyDescent="0.25">
      <c r="A270" s="22" t="s">
        <v>84</v>
      </c>
      <c r="B270" s="41" t="str">
        <f t="shared" si="18"/>
        <v>V</v>
      </c>
      <c r="C270" s="42">
        <f t="shared" si="15"/>
        <v>269</v>
      </c>
      <c r="D270" s="246" t="s">
        <v>9</v>
      </c>
      <c r="E270" s="38"/>
      <c r="F270" s="247"/>
      <c r="G270" s="208"/>
      <c r="H270" s="38"/>
      <c r="I270" s="38" t="s">
        <v>9</v>
      </c>
      <c r="J270" s="38"/>
      <c r="K270" s="53" t="s">
        <v>18</v>
      </c>
      <c r="L270" s="53" t="s">
        <v>32</v>
      </c>
      <c r="M270" s="203" t="s">
        <v>1080</v>
      </c>
      <c r="N270" s="53" t="s">
        <v>1288</v>
      </c>
      <c r="O270" s="155" t="s">
        <v>19</v>
      </c>
      <c r="R270" s="171" t="s">
        <v>103</v>
      </c>
      <c r="S270" s="171" t="s">
        <v>112</v>
      </c>
      <c r="T270" s="166" t="s">
        <v>264</v>
      </c>
      <c r="U270" s="166" t="s">
        <v>264</v>
      </c>
      <c r="V270" s="166"/>
      <c r="W270" s="15"/>
      <c r="X270" s="15" t="s">
        <v>458</v>
      </c>
      <c r="Y270" s="14" t="s">
        <v>1259</v>
      </c>
      <c r="Z270" s="59" t="str">
        <f>IF(OR($M270="",NOT($O270="{array}")),"",IFERROR(MATCH(PARAMETERS!$M270,DEFAULT!$B$5:$CI$5,0),""))</f>
        <v/>
      </c>
      <c r="AA270" s="56">
        <f t="shared" si="17"/>
        <v>1</v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IF($AA270="","",IF($B270="I",VLOOKUP($AA270,#REF!,53,0),INDEX(VALUES!$B$1:$BF$1,1,$AA270)))</f>
        <v>- |   | M | S | K | C | F | B | ...</v>
      </c>
    </row>
    <row r="271" spans="1:29" outlineLevel="1" x14ac:dyDescent="0.25">
      <c r="A271" s="22" t="s">
        <v>84</v>
      </c>
      <c r="B271" s="41" t="str">
        <f>IF($A271="P",IF(NOT($Z271=""),"A",IF(NOT($AA271=""),"I","")),IF(NOT($AA271=""),IF($A271="G","V","X"),IF(NOT($Z271=""),"A","")))</f>
        <v/>
      </c>
      <c r="C271" s="42">
        <f t="shared" si="15"/>
        <v>270</v>
      </c>
      <c r="D271" s="246" t="s">
        <v>9</v>
      </c>
      <c r="E271" s="38"/>
      <c r="F271" s="247"/>
      <c r="G271" s="208"/>
      <c r="H271" s="38"/>
      <c r="I271" s="38" t="s">
        <v>9</v>
      </c>
      <c r="J271" s="38"/>
      <c r="K271" s="166" t="s">
        <v>18</v>
      </c>
      <c r="L271" s="167" t="s">
        <v>32</v>
      </c>
      <c r="M271" s="203" t="s">
        <v>1278</v>
      </c>
      <c r="N271" s="166" t="s">
        <v>1279</v>
      </c>
      <c r="O271" s="166" t="s">
        <v>1166</v>
      </c>
      <c r="P271" s="160" t="s">
        <v>264</v>
      </c>
      <c r="Q271" s="171"/>
      <c r="R271" s="171" t="s">
        <v>103</v>
      </c>
      <c r="S271" s="171" t="s">
        <v>112</v>
      </c>
      <c r="T271" s="166" t="s">
        <v>264</v>
      </c>
      <c r="U271" s="166" t="s">
        <v>264</v>
      </c>
      <c r="V271" s="166" t="s">
        <v>1280</v>
      </c>
      <c r="W271" s="15"/>
      <c r="X271" s="15" t="s">
        <v>1384</v>
      </c>
      <c r="Y271" s="166" t="s">
        <v>1281</v>
      </c>
      <c r="Z271" s="59" t="str">
        <f>IF(OR($M271="",NOT($O271="{array}")),"",IFERROR(MATCH(PARAMETERS!$M271,DEFAULT!$B$5:$CI$5,0),""))</f>
        <v/>
      </c>
      <c r="AA271" s="56" t="str">
        <f t="shared" si="17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IF($AA271="","",IF($B271="I",VLOOKUP($AA271,#REF!,53,0),INDEX(VALUES!$B$1:$BF$1,1,$AA271)))</f>
        <v/>
      </c>
    </row>
    <row r="272" spans="1:29" outlineLevel="1" x14ac:dyDescent="0.25">
      <c r="A272" s="22" t="s">
        <v>84</v>
      </c>
      <c r="B272" s="41" t="str">
        <f>IF($A272="P",IF(NOT($Z272=""),"A",IF(NOT($AA272=""),"I","")),IF(NOT($AA272=""),IF($A272="G","V","X"),IF(NOT($Z272=""),"A","")))</f>
        <v>V</v>
      </c>
      <c r="C272" s="42">
        <f t="shared" si="15"/>
        <v>271</v>
      </c>
      <c r="D272" s="246" t="s">
        <v>9</v>
      </c>
      <c r="E272" s="38"/>
      <c r="F272" s="247"/>
      <c r="G272" s="208"/>
      <c r="H272" s="38"/>
      <c r="I272" s="38" t="s">
        <v>9</v>
      </c>
      <c r="J272" s="38"/>
      <c r="K272" s="53" t="s">
        <v>18</v>
      </c>
      <c r="L272" s="53" t="s">
        <v>32</v>
      </c>
      <c r="M272" s="203" t="s">
        <v>1303</v>
      </c>
      <c r="N272" s="53" t="s">
        <v>1308</v>
      </c>
      <c r="O272" s="155" t="s">
        <v>968</v>
      </c>
      <c r="Q272" s="171"/>
      <c r="R272" s="171" t="s">
        <v>103</v>
      </c>
      <c r="S272" s="171" t="s">
        <v>112</v>
      </c>
      <c r="T272" s="166"/>
      <c r="U272" s="166"/>
      <c r="V272" s="166"/>
      <c r="W272" s="15"/>
      <c r="Y272" s="166"/>
      <c r="Z272" s="59" t="str">
        <f>IF(OR($M272="",NOT($O272="{array}")),"",IFERROR(MATCH(PARAMETERS!$M272,DEFAULT!$B$5:$CI$5,0),""))</f>
        <v/>
      </c>
      <c r="AA272" s="56">
        <f t="shared" si="17"/>
        <v>7</v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IF($AA272="","",IF($B272="I",VLOOKUP($AA272,#REF!,53,0),INDEX(VALUES!$B$1:$BF$1,1,$AA272)))</f>
        <v>- | ZS | BS | BGS</v>
      </c>
    </row>
    <row r="273" spans="1:29" outlineLevel="1" x14ac:dyDescent="0.25">
      <c r="A273" s="22" t="s">
        <v>84</v>
      </c>
      <c r="B273" s="41" t="str">
        <f t="shared" si="18"/>
        <v>V</v>
      </c>
      <c r="C273" s="42">
        <f t="shared" si="15"/>
        <v>272</v>
      </c>
      <c r="D273" s="246" t="s">
        <v>9</v>
      </c>
      <c r="E273" s="38"/>
      <c r="F273" s="247"/>
      <c r="G273" s="208"/>
      <c r="H273" s="38"/>
      <c r="I273" s="38" t="s">
        <v>9</v>
      </c>
      <c r="J273" s="38"/>
      <c r="K273" s="53" t="s">
        <v>18</v>
      </c>
      <c r="L273" s="53" t="s">
        <v>32</v>
      </c>
      <c r="M273" s="203" t="s">
        <v>1260</v>
      </c>
      <c r="N273" s="53" t="s">
        <v>1289</v>
      </c>
      <c r="O273" s="155" t="s">
        <v>1363</v>
      </c>
      <c r="R273" s="171" t="s">
        <v>103</v>
      </c>
      <c r="S273" s="171" t="s">
        <v>112</v>
      </c>
      <c r="T273" s="166" t="s">
        <v>264</v>
      </c>
      <c r="U273" s="166" t="s">
        <v>264</v>
      </c>
      <c r="V273" s="166"/>
      <c r="W273" s="15"/>
      <c r="X273" s="15" t="s">
        <v>1384</v>
      </c>
      <c r="Y273" s="14" t="s">
        <v>1259</v>
      </c>
      <c r="Z273" s="59" t="str">
        <f>IF(OR($M273="",NOT($O273="{array}")),"",IFERROR(MATCH(PARAMETERS!$M273,DEFAULT!$B$5:$CI$5,0),""))</f>
        <v/>
      </c>
      <c r="AA273" s="56">
        <f t="shared" si="17"/>
        <v>9</v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IF($AA273="","",IF($B273="I",VLOOKUP($AA273,#REF!,53,0),INDEX(VALUES!$B$1:$BF$1,1,$AA273)))</f>
        <v>c-lever compact | c-lever 29x4 | c-lever 29x5 | c-lever pro HAC | c-lever pro HBC</v>
      </c>
    </row>
    <row r="274" spans="1:29" outlineLevel="1" x14ac:dyDescent="0.25">
      <c r="A274" s="22" t="s">
        <v>84</v>
      </c>
      <c r="B274" s="41" t="str">
        <f>IF($A274="P",IF(NOT($Z274=""),"A",IF(NOT($AA274=""),"I","")),IF(NOT($AA274=""),IF($A274="G","V","X"),IF(NOT($Z274=""),"A","")))</f>
        <v/>
      </c>
      <c r="C274" s="42">
        <f t="shared" si="15"/>
        <v>273</v>
      </c>
      <c r="D274" s="246" t="s">
        <v>9</v>
      </c>
      <c r="E274" s="38"/>
      <c r="F274" s="247"/>
      <c r="G274" s="208"/>
      <c r="H274" s="38"/>
      <c r="I274" s="38" t="s">
        <v>9</v>
      </c>
      <c r="J274" s="38"/>
      <c r="K274" s="53" t="s">
        <v>18</v>
      </c>
      <c r="L274" s="53" t="s">
        <v>21</v>
      </c>
      <c r="M274" s="203" t="s">
        <v>1287</v>
      </c>
      <c r="N274" s="53" t="s">
        <v>1286</v>
      </c>
      <c r="O274" s="166" t="s">
        <v>1021</v>
      </c>
      <c r="Q274" s="171"/>
      <c r="R274" s="171" t="s">
        <v>103</v>
      </c>
      <c r="S274" s="171" t="s">
        <v>112</v>
      </c>
      <c r="T274" s="166" t="s">
        <v>264</v>
      </c>
      <c r="U274" s="166" t="s">
        <v>264</v>
      </c>
      <c r="V274" s="166"/>
      <c r="W274" s="15"/>
      <c r="X274" s="15" t="s">
        <v>1384</v>
      </c>
      <c r="Z274" s="59" t="str">
        <f>IF(OR($M274="",NOT($O274="{array}")),"",IFERROR(MATCH(PARAMETERS!$M274,DEFAULT!$B$5:$CI$5,0),""))</f>
        <v/>
      </c>
      <c r="AA274" s="56" t="str">
        <f t="shared" si="17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IF($AA274="","",IF($B274="I",VLOOKUP($AA274,#REF!,53,0),INDEX(VALUES!$B$1:$BF$1,1,$AA274)))</f>
        <v/>
      </c>
    </row>
    <row r="275" spans="1:29" outlineLevel="1" x14ac:dyDescent="0.25">
      <c r="A275" s="22" t="s">
        <v>84</v>
      </c>
      <c r="B275" s="41" t="str">
        <f>IF($A275="P",IF(NOT($Z275=""),"A",IF(NOT($AA275=""),"I","")),IF(NOT($AA275=""),IF($A275="G","V","X"),IF(NOT($Z275=""),"A","")))</f>
        <v/>
      </c>
      <c r="C275" s="42">
        <f t="shared" si="15"/>
        <v>274</v>
      </c>
      <c r="D275" s="246" t="s">
        <v>9</v>
      </c>
      <c r="E275" s="38"/>
      <c r="F275" s="247"/>
      <c r="G275" s="208"/>
      <c r="H275" s="38"/>
      <c r="I275" s="38" t="s">
        <v>9</v>
      </c>
      <c r="J275" s="38"/>
      <c r="K275" s="53" t="s">
        <v>18</v>
      </c>
      <c r="L275" s="53" t="s">
        <v>32</v>
      </c>
      <c r="M275" s="203" t="s">
        <v>1262</v>
      </c>
      <c r="N275" s="53" t="s">
        <v>1263</v>
      </c>
      <c r="O275" s="155"/>
      <c r="Q275" s="171"/>
      <c r="R275" s="171" t="s">
        <v>103</v>
      </c>
      <c r="S275" s="171" t="s">
        <v>112</v>
      </c>
      <c r="T275" s="166" t="s">
        <v>264</v>
      </c>
      <c r="U275" s="166" t="s">
        <v>264</v>
      </c>
      <c r="V275" s="166"/>
      <c r="W275" s="15"/>
      <c r="X275" s="15" t="s">
        <v>1384</v>
      </c>
      <c r="Z275" s="59" t="str">
        <f>IF(OR($M275="",NOT($O275="{array}")),"",IFERROR(MATCH(PARAMETERS!$M275,DEFAULT!$B$5:$CI$5,0),""))</f>
        <v/>
      </c>
      <c r="AA275" s="56" t="str">
        <f t="shared" si="17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IF($AA275="","",IF($B275="I",VLOOKUP($AA275,#REF!,53,0),INDEX(VALUES!$B$1:$BF$1,1,$AA275)))</f>
        <v/>
      </c>
    </row>
    <row r="276" spans="1:29" outlineLevel="1" x14ac:dyDescent="0.25">
      <c r="A276" s="22" t="s">
        <v>84</v>
      </c>
      <c r="B276" s="41" t="str">
        <f>IF($A276="P",IF(NOT($Z276=""),"A",IF(NOT($AA276=""),"I","")),IF(NOT($AA276=""),IF($A276="G","V","X"),IF(NOT($Z276=""),"A","")))</f>
        <v/>
      </c>
      <c r="C276" s="42">
        <f t="shared" si="15"/>
        <v>275</v>
      </c>
      <c r="D276" s="246" t="s">
        <v>9</v>
      </c>
      <c r="E276" s="38"/>
      <c r="F276" s="247"/>
      <c r="G276" s="208"/>
      <c r="H276" s="38"/>
      <c r="I276" s="38" t="s">
        <v>9</v>
      </c>
      <c r="J276" s="38"/>
      <c r="K276" s="53" t="s">
        <v>18</v>
      </c>
      <c r="L276" s="53" t="s">
        <v>32</v>
      </c>
      <c r="M276" s="203" t="s">
        <v>1299</v>
      </c>
      <c r="N276" s="53" t="s">
        <v>1300</v>
      </c>
      <c r="O276" s="155" t="str">
        <f>"2"</f>
        <v>2</v>
      </c>
      <c r="Q276" s="171"/>
      <c r="R276" s="171" t="s">
        <v>103</v>
      </c>
      <c r="S276" s="171" t="s">
        <v>112</v>
      </c>
      <c r="T276" s="166" t="s">
        <v>264</v>
      </c>
      <c r="U276" s="166" t="s">
        <v>264</v>
      </c>
      <c r="V276" s="166"/>
      <c r="W276" s="15"/>
      <c r="X276" s="15" t="s">
        <v>1384</v>
      </c>
      <c r="Z276" s="59" t="str">
        <f>IF(OR($M276="",NOT($O276="{array}")),"",IFERROR(MATCH(PARAMETERS!$M276,DEFAULT!$B$5:$CI$5,0),""))</f>
        <v/>
      </c>
      <c r="AA276" s="56" t="str">
        <f t="shared" si="17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IF($AA276="","",IF($B276="I",VLOOKUP($AA276,#REF!,53,0),INDEX(VALUES!$B$1:$BF$1,1,$AA276)))</f>
        <v/>
      </c>
    </row>
    <row r="277" spans="1:29" outlineLevel="1" x14ac:dyDescent="0.25">
      <c r="A277" s="22" t="s">
        <v>84</v>
      </c>
      <c r="B277" s="41" t="str">
        <f>IF($A277="P",IF(NOT($Z277=""),"A",IF(NOT($AA277=""),"I","")),IF(NOT($AA277=""),IF($A277="G","V","X"),IF(NOT($Z277=""),"A","")))</f>
        <v/>
      </c>
      <c r="C277" s="42">
        <f t="shared" si="15"/>
        <v>276</v>
      </c>
      <c r="D277" s="246" t="s">
        <v>9</v>
      </c>
      <c r="E277" s="38"/>
      <c r="F277" s="247"/>
      <c r="G277" s="208"/>
      <c r="H277" s="38"/>
      <c r="I277" s="38" t="s">
        <v>9</v>
      </c>
      <c r="J277" s="38"/>
      <c r="K277" s="53" t="s">
        <v>44</v>
      </c>
      <c r="L277" s="53" t="s">
        <v>32</v>
      </c>
      <c r="M277" s="203" t="s">
        <v>1301</v>
      </c>
      <c r="N277" s="53" t="s">
        <v>1302</v>
      </c>
      <c r="O277" s="155">
        <v>1</v>
      </c>
      <c r="Q277" s="171"/>
      <c r="R277" s="171" t="s">
        <v>103</v>
      </c>
      <c r="S277" s="171" t="s">
        <v>112</v>
      </c>
      <c r="T277" s="166" t="s">
        <v>264</v>
      </c>
      <c r="U277" s="166" t="s">
        <v>264</v>
      </c>
      <c r="V277" s="166"/>
      <c r="W277" s="15"/>
      <c r="X277" s="15" t="s">
        <v>1384</v>
      </c>
      <c r="Z277" s="59" t="str">
        <f>IF(OR($M277="",NOT($O277="{array}")),"",IFERROR(MATCH(PARAMETERS!$M277,DEFAULT!$B$5:$CI$5,0),""))</f>
        <v/>
      </c>
      <c r="AA277" s="56" t="str">
        <f t="shared" si="17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IF($AA277="","",IF($B277="I",VLOOKUP($AA277,#REF!,53,0),INDEX(VALUES!$B$1:$BF$1,1,$AA277)))</f>
        <v/>
      </c>
    </row>
    <row r="278" spans="1:29" outlineLevel="1" x14ac:dyDescent="0.25">
      <c r="A278" s="22" t="s">
        <v>84</v>
      </c>
      <c r="B278" s="41" t="str">
        <f t="shared" ref="B278:B297" si="19">IF($A278="P",IF(NOT($Z278=""),"A",IF(NOT($AA278=""),"I","")),IF(NOT($AA278=""),IF($A278="G","V","X"),IF(NOT($Z278=""),"A","")))</f>
        <v/>
      </c>
      <c r="C278" s="42">
        <f t="shared" si="15"/>
        <v>277</v>
      </c>
      <c r="D278" s="246" t="s">
        <v>9</v>
      </c>
      <c r="E278" s="38"/>
      <c r="F278" s="247"/>
      <c r="G278" s="208"/>
      <c r="H278" s="38"/>
      <c r="I278" s="38" t="s">
        <v>9</v>
      </c>
      <c r="J278" s="38"/>
      <c r="K278" s="53" t="s">
        <v>18</v>
      </c>
      <c r="L278" s="53" t="s">
        <v>32</v>
      </c>
      <c r="M278" s="203" t="s">
        <v>1264</v>
      </c>
      <c r="N278" s="53" t="s">
        <v>1265</v>
      </c>
      <c r="O278" s="155" t="str">
        <f>"3"</f>
        <v>3</v>
      </c>
      <c r="Q278" s="171"/>
      <c r="R278" s="171" t="s">
        <v>103</v>
      </c>
      <c r="S278" s="171" t="s">
        <v>112</v>
      </c>
      <c r="T278" s="166" t="s">
        <v>264</v>
      </c>
      <c r="U278" s="166" t="s">
        <v>264</v>
      </c>
      <c r="V278" s="166"/>
      <c r="W278" s="15"/>
      <c r="X278" s="15" t="s">
        <v>1384</v>
      </c>
      <c r="Z278" s="59" t="str">
        <f>IF(OR($M278="",NOT($O278="{array}")),"",IFERROR(MATCH(PARAMETERS!$M278,DEFAULT!$B$5:$CI$5,0),""))</f>
        <v/>
      </c>
      <c r="AA278" s="56" t="str">
        <f t="shared" si="17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IF($AA278="","",IF($B278="I",VLOOKUP($AA278,#REF!,53,0),INDEX(VALUES!$B$1:$BF$1,1,$AA278)))</f>
        <v/>
      </c>
    </row>
    <row r="279" spans="1:29" outlineLevel="1" x14ac:dyDescent="0.25">
      <c r="A279" s="22" t="s">
        <v>84</v>
      </c>
      <c r="B279" s="41" t="str">
        <f t="shared" si="19"/>
        <v/>
      </c>
      <c r="C279" s="42">
        <f t="shared" si="15"/>
        <v>278</v>
      </c>
      <c r="D279" s="246" t="s">
        <v>9</v>
      </c>
      <c r="E279" s="38"/>
      <c r="F279" s="247"/>
      <c r="G279" s="208"/>
      <c r="H279" s="38"/>
      <c r="I279" s="38" t="s">
        <v>9</v>
      </c>
      <c r="J279" s="38"/>
      <c r="K279" s="53" t="s">
        <v>18</v>
      </c>
      <c r="L279" s="53" t="s">
        <v>32</v>
      </c>
      <c r="M279" s="203" t="s">
        <v>1266</v>
      </c>
      <c r="N279" s="53" t="s">
        <v>1267</v>
      </c>
      <c r="O279" s="155" t="s">
        <v>1099</v>
      </c>
      <c r="Q279" s="171"/>
      <c r="R279" s="171" t="s">
        <v>103</v>
      </c>
      <c r="S279" s="171" t="s">
        <v>112</v>
      </c>
      <c r="T279" s="166"/>
      <c r="U279" s="166"/>
      <c r="V279" s="166"/>
      <c r="W279" s="15"/>
      <c r="X279" s="15" t="str">
        <f t="shared" ref="X273:X283" si="20">IF($A279="G",IF(IFERROR(VLOOKUP($M279,Reimport,1,0),"-")="-","&gt;&lt;",IF($O279=VLOOKUP($M279,Reimport,2,0),"...",VLOOKUP($M279,Reimport,2,0))),"")</f>
        <v>&gt;&lt;</v>
      </c>
      <c r="Z279" s="59" t="str">
        <f>IF(OR($M279="",NOT($O279="{array}")),"",IFERROR(MATCH(PARAMETERS!$M279,DEFAULT!$B$5:$CI$5,0),""))</f>
        <v/>
      </c>
      <c r="AA279" s="56" t="str">
        <f t="shared" si="17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IF($AA279="","",IF($B279="I",VLOOKUP($AA279,#REF!,53,0),INDEX(VALUES!$B$1:$BF$1,1,$AA279)))</f>
        <v/>
      </c>
    </row>
    <row r="280" spans="1:29" outlineLevel="1" x14ac:dyDescent="0.25">
      <c r="A280" s="22" t="s">
        <v>84</v>
      </c>
      <c r="B280" s="41" t="str">
        <f t="shared" si="19"/>
        <v/>
      </c>
      <c r="C280" s="42">
        <f t="shared" si="15"/>
        <v>279</v>
      </c>
      <c r="D280" s="246" t="s">
        <v>9</v>
      </c>
      <c r="E280" s="38"/>
      <c r="F280" s="247"/>
      <c r="G280" s="208"/>
      <c r="H280" s="38"/>
      <c r="I280" s="38" t="s">
        <v>9</v>
      </c>
      <c r="J280" s="38"/>
      <c r="K280" s="53" t="s">
        <v>18</v>
      </c>
      <c r="L280" s="53" t="s">
        <v>32</v>
      </c>
      <c r="M280" s="203" t="s">
        <v>1268</v>
      </c>
      <c r="N280" s="53" t="s">
        <v>1269</v>
      </c>
      <c r="O280" s="155" t="s">
        <v>1270</v>
      </c>
      <c r="Q280" s="171"/>
      <c r="R280" s="171" t="s">
        <v>103</v>
      </c>
      <c r="S280" s="171" t="s">
        <v>112</v>
      </c>
      <c r="T280" s="166"/>
      <c r="U280" s="166"/>
      <c r="V280" s="166"/>
      <c r="W280" s="15"/>
      <c r="X280" s="15" t="str">
        <f t="shared" si="20"/>
        <v>&gt;&lt;</v>
      </c>
      <c r="Z280" s="59" t="str">
        <f>IF(OR($M280="",NOT($O280="{array}")),"",IFERROR(MATCH(PARAMETERS!$M280,DEFAULT!$B$5:$CI$5,0),""))</f>
        <v/>
      </c>
      <c r="AA280" s="56" t="str">
        <f t="shared" si="17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IF($AA280="","",IF($B280="I",VLOOKUP($AA280,#REF!,53,0),INDEX(VALUES!$B$1:$BF$1,1,$AA280)))</f>
        <v/>
      </c>
    </row>
    <row r="281" spans="1:29" outlineLevel="1" x14ac:dyDescent="0.25">
      <c r="A281" s="22" t="s">
        <v>84</v>
      </c>
      <c r="B281" s="41" t="str">
        <f t="shared" si="19"/>
        <v/>
      </c>
      <c r="C281" s="42">
        <f t="shared" si="15"/>
        <v>280</v>
      </c>
      <c r="D281" s="246" t="s">
        <v>9</v>
      </c>
      <c r="E281" s="38"/>
      <c r="F281" s="247"/>
      <c r="G281" s="208"/>
      <c r="H281" s="38"/>
      <c r="I281" s="38" t="s">
        <v>9</v>
      </c>
      <c r="J281" s="38"/>
      <c r="K281" s="53" t="s">
        <v>18</v>
      </c>
      <c r="L281" s="53" t="s">
        <v>32</v>
      </c>
      <c r="M281" s="203" t="s">
        <v>1271</v>
      </c>
      <c r="N281" s="53" t="s">
        <v>1272</v>
      </c>
      <c r="O281" s="155" t="s">
        <v>1273</v>
      </c>
      <c r="Q281" s="171"/>
      <c r="R281" s="171" t="s">
        <v>103</v>
      </c>
      <c r="S281" s="171" t="s">
        <v>112</v>
      </c>
      <c r="T281" s="166"/>
      <c r="U281" s="166"/>
      <c r="V281" s="166"/>
      <c r="W281" s="15"/>
      <c r="X281" s="15" t="str">
        <f t="shared" si="20"/>
        <v>&gt;&lt;</v>
      </c>
      <c r="Z281" s="59" t="str">
        <f>IF(OR($M281="",NOT($O281="{array}")),"",IFERROR(MATCH(PARAMETERS!$M281,DEFAULT!$B$5:$CI$5,0),""))</f>
        <v/>
      </c>
      <c r="AA281" s="56" t="str">
        <f t="shared" si="17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IF($AA281="","",IF($B281="I",VLOOKUP($AA281,#REF!,53,0),INDEX(VALUES!$B$1:$BF$1,1,$AA281)))</f>
        <v/>
      </c>
    </row>
    <row r="282" spans="1:29" outlineLevel="1" x14ac:dyDescent="0.25">
      <c r="A282" s="22" t="s">
        <v>84</v>
      </c>
      <c r="B282" s="41" t="str">
        <f t="shared" si="19"/>
        <v/>
      </c>
      <c r="C282" s="42">
        <f t="shared" si="15"/>
        <v>281</v>
      </c>
      <c r="D282" s="246" t="s">
        <v>9</v>
      </c>
      <c r="E282" s="38"/>
      <c r="F282" s="247"/>
      <c r="G282" s="208"/>
      <c r="H282" s="38"/>
      <c r="I282" s="38" t="s">
        <v>9</v>
      </c>
      <c r="J282" s="38"/>
      <c r="K282" s="53" t="s">
        <v>18</v>
      </c>
      <c r="L282" s="53" t="s">
        <v>32</v>
      </c>
      <c r="M282" s="203" t="s">
        <v>1274</v>
      </c>
      <c r="N282" s="53" t="s">
        <v>1275</v>
      </c>
      <c r="O282" s="155" t="s">
        <v>48</v>
      </c>
      <c r="Q282" s="171"/>
      <c r="R282" s="171" t="s">
        <v>103</v>
      </c>
      <c r="S282" s="171" t="s">
        <v>112</v>
      </c>
      <c r="T282" s="166"/>
      <c r="U282" s="166"/>
      <c r="V282" s="166"/>
      <c r="W282" s="15"/>
      <c r="X282" s="15" t="str">
        <f t="shared" si="20"/>
        <v>&gt;&lt;</v>
      </c>
      <c r="Z282" s="59" t="str">
        <f>IF(OR($M282="",NOT($O282="{array}")),"",IFERROR(MATCH(PARAMETERS!$M282,DEFAULT!$B$5:$CI$5,0),""))</f>
        <v/>
      </c>
      <c r="AA282" s="56" t="str">
        <f t="shared" si="17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IF($AA282="","",IF($B282="I",VLOOKUP($AA282,#REF!,53,0),INDEX(VALUES!$B$1:$BF$1,1,$AA282)))</f>
        <v/>
      </c>
    </row>
    <row r="283" spans="1:29" outlineLevel="1" x14ac:dyDescent="0.25">
      <c r="A283" s="22" t="s">
        <v>84</v>
      </c>
      <c r="B283" s="41" t="str">
        <f t="shared" si="19"/>
        <v/>
      </c>
      <c r="C283" s="42">
        <f t="shared" si="15"/>
        <v>282</v>
      </c>
      <c r="D283" s="246" t="s">
        <v>9</v>
      </c>
      <c r="E283" s="38"/>
      <c r="F283" s="247"/>
      <c r="G283" s="208"/>
      <c r="H283" s="38"/>
      <c r="I283" s="38" t="s">
        <v>9</v>
      </c>
      <c r="J283" s="38"/>
      <c r="K283" s="53" t="s">
        <v>18</v>
      </c>
      <c r="L283" s="53" t="s">
        <v>32</v>
      </c>
      <c r="M283" s="203" t="s">
        <v>1276</v>
      </c>
      <c r="N283" s="53" t="s">
        <v>1277</v>
      </c>
      <c r="O283" s="155" t="s">
        <v>34</v>
      </c>
      <c r="Q283" s="171"/>
      <c r="R283" s="171" t="s">
        <v>103</v>
      </c>
      <c r="S283" s="171" t="s">
        <v>112</v>
      </c>
      <c r="T283" s="166"/>
      <c r="U283" s="166"/>
      <c r="V283" s="166"/>
      <c r="W283" s="15"/>
      <c r="X283" s="15" t="str">
        <f t="shared" si="20"/>
        <v>&gt;&lt;</v>
      </c>
      <c r="Z283" s="59" t="str">
        <f>IF(OR($M283="",NOT($O283="{array}")),"",IFERROR(MATCH(PARAMETERS!$M283,DEFAULT!$B$5:$CI$5,0),""))</f>
        <v/>
      </c>
      <c r="AA283" s="56" t="str">
        <f t="shared" si="17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IF($AA283="","",IF($B283="I",VLOOKUP($AA283,#REF!,53,0),INDEX(VALUES!$B$1:$BF$1,1,$AA283)))</f>
        <v/>
      </c>
    </row>
    <row r="284" spans="1:29" outlineLevel="1" x14ac:dyDescent="0.25">
      <c r="A284" s="22" t="s">
        <v>84</v>
      </c>
      <c r="B284" s="41" t="str">
        <f t="shared" si="19"/>
        <v>V</v>
      </c>
      <c r="C284" s="42">
        <f t="shared" si="15"/>
        <v>283</v>
      </c>
      <c r="D284" s="246" t="s">
        <v>9</v>
      </c>
      <c r="E284" s="38"/>
      <c r="F284" s="247"/>
      <c r="G284" s="208"/>
      <c r="H284" s="38"/>
      <c r="I284" s="38" t="s">
        <v>9</v>
      </c>
      <c r="J284" s="38"/>
      <c r="K284" s="166" t="s">
        <v>18</v>
      </c>
      <c r="L284" s="167" t="s">
        <v>21</v>
      </c>
      <c r="M284" s="203" t="s">
        <v>1282</v>
      </c>
      <c r="N284" s="159" t="s">
        <v>1283</v>
      </c>
      <c r="O284" s="166" t="s">
        <v>965</v>
      </c>
      <c r="P284" s="160" t="s">
        <v>264</v>
      </c>
      <c r="Q284" s="171" t="s">
        <v>9</v>
      </c>
      <c r="R284" s="171" t="s">
        <v>103</v>
      </c>
      <c r="S284" s="171" t="s">
        <v>112</v>
      </c>
      <c r="T284" s="38"/>
      <c r="X284" s="15" t="s">
        <v>1384</v>
      </c>
      <c r="Z284" s="59" t="str">
        <f>IF(OR($M284="",NOT($O284="{array}")),"",IFERROR(MATCH(PARAMETERS!$M284,DEFAULT!$B$5:$CI$5,0),""))</f>
        <v/>
      </c>
      <c r="AA284" s="56">
        <f t="shared" si="17"/>
        <v>3</v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IF($AA284="","",IF($B284="I",VLOOKUP($AA284,#REF!,53,0),INDEX(VALUES!$B$1:$BF$1,1,$AA284)))</f>
        <v xml:space="preserve">  | ST | ES | AL | XX</v>
      </c>
    </row>
    <row r="285" spans="1:29" outlineLevel="1" x14ac:dyDescent="0.25">
      <c r="A285" s="22" t="s">
        <v>84</v>
      </c>
      <c r="B285" s="41" t="str">
        <f t="shared" si="19"/>
        <v>V</v>
      </c>
      <c r="C285" s="42">
        <f t="shared" si="15"/>
        <v>284</v>
      </c>
      <c r="D285" s="246" t="s">
        <v>9</v>
      </c>
      <c r="E285" s="38"/>
      <c r="F285" s="247"/>
      <c r="G285" s="208"/>
      <c r="H285" s="38"/>
      <c r="I285" s="38" t="s">
        <v>9</v>
      </c>
      <c r="J285" s="38"/>
      <c r="K285" s="166" t="s">
        <v>18</v>
      </c>
      <c r="L285" s="167" t="s">
        <v>21</v>
      </c>
      <c r="M285" s="203" t="s">
        <v>1284</v>
      </c>
      <c r="N285" s="166" t="s">
        <v>1285</v>
      </c>
      <c r="O285" s="166" t="s">
        <v>19</v>
      </c>
      <c r="P285" s="160" t="s">
        <v>264</v>
      </c>
      <c r="Q285" s="171" t="s">
        <v>9</v>
      </c>
      <c r="R285" s="171" t="s">
        <v>103</v>
      </c>
      <c r="S285" s="171" t="s">
        <v>112</v>
      </c>
      <c r="T285" s="166" t="s">
        <v>264</v>
      </c>
      <c r="U285" s="166" t="s">
        <v>264</v>
      </c>
      <c r="V285" s="166"/>
      <c r="W285" s="15"/>
      <c r="X285" s="15" t="s">
        <v>1384</v>
      </c>
      <c r="Y285" s="166"/>
      <c r="Z285" s="59" t="str">
        <f>IF(OR($M285="",NOT($O285="{array}")),"",IFERROR(MATCH(PARAMETERS!$M285,DEFAULT!$B$5:$CI$5,0),""))</f>
        <v/>
      </c>
      <c r="AA285" s="56">
        <f t="shared" si="17"/>
        <v>5</v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IF($AA285="","",IF($B285="I",VLOOKUP($AA285,#REF!,53,0),INDEX(VALUES!$B$1:$BF$1,1,$AA285)))</f>
        <v xml:space="preserve">  | - | B | S | T | P | N | L | ...</v>
      </c>
    </row>
    <row r="286" spans="1:29" outlineLevel="1" x14ac:dyDescent="0.25">
      <c r="A286" s="22" t="s">
        <v>84</v>
      </c>
      <c r="B286" s="41" t="str">
        <f t="shared" si="19"/>
        <v/>
      </c>
      <c r="C286" s="42">
        <f t="shared" si="15"/>
        <v>285</v>
      </c>
      <c r="D286" s="246" t="s">
        <v>9</v>
      </c>
      <c r="E286" s="38"/>
      <c r="F286" s="247"/>
      <c r="G286" s="208"/>
      <c r="H286" s="38"/>
      <c r="I286" s="38" t="s">
        <v>9</v>
      </c>
      <c r="J286" s="38"/>
      <c r="K286" s="53" t="s">
        <v>44</v>
      </c>
      <c r="L286" s="53" t="s">
        <v>32</v>
      </c>
      <c r="M286" s="203" t="s">
        <v>1349</v>
      </c>
      <c r="N286" s="53" t="s">
        <v>1350</v>
      </c>
      <c r="O286" s="155">
        <v>0</v>
      </c>
      <c r="P286" s="160" t="s">
        <v>264</v>
      </c>
      <c r="Q286" s="171" t="s">
        <v>9</v>
      </c>
      <c r="R286" s="171" t="s">
        <v>103</v>
      </c>
      <c r="S286" s="171" t="s">
        <v>112</v>
      </c>
      <c r="T286" s="166" t="s">
        <v>264</v>
      </c>
      <c r="U286" s="166" t="s">
        <v>264</v>
      </c>
      <c r="V286" s="166"/>
      <c r="W286" s="15"/>
      <c r="X286" s="15" t="s">
        <v>1384</v>
      </c>
      <c r="Y286" s="166"/>
      <c r="Z286" s="59" t="str">
        <f>IF(OR($M286="",NOT($O286="{array}")),"",IFERROR(MATCH(PARAMETERS!$M286,DEFAULT!$B$5:$CI$5,0),""))</f>
        <v/>
      </c>
      <c r="AA286" s="56" t="str">
        <f t="shared" si="17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IF($AA286="","",IF($B286="I",VLOOKUP($AA286,#REF!,53,0),INDEX(VALUES!$B$1:$BF$1,1,$AA286)))</f>
        <v/>
      </c>
    </row>
    <row r="287" spans="1:29" outlineLevel="1" x14ac:dyDescent="0.25">
      <c r="A287" s="22" t="s">
        <v>84</v>
      </c>
      <c r="B287" s="41" t="str">
        <f t="shared" si="19"/>
        <v/>
      </c>
      <c r="C287" s="42">
        <f t="shared" si="15"/>
        <v>286</v>
      </c>
      <c r="D287" s="246" t="s">
        <v>9</v>
      </c>
      <c r="E287" s="38"/>
      <c r="F287" s="247"/>
      <c r="G287" s="208"/>
      <c r="H287" s="38"/>
      <c r="I287" s="38" t="s">
        <v>9</v>
      </c>
      <c r="J287" s="38"/>
      <c r="K287" s="166" t="s">
        <v>18</v>
      </c>
      <c r="L287" s="53" t="s">
        <v>32</v>
      </c>
      <c r="M287" s="203" t="s">
        <v>1364</v>
      </c>
      <c r="N287" s="53" t="s">
        <v>1365</v>
      </c>
      <c r="O287" s="155" t="s">
        <v>1366</v>
      </c>
      <c r="P287" s="160" t="s">
        <v>264</v>
      </c>
      <c r="Q287" s="171" t="s">
        <v>9</v>
      </c>
      <c r="R287" s="171" t="s">
        <v>103</v>
      </c>
      <c r="S287" s="171" t="s">
        <v>112</v>
      </c>
      <c r="T287" s="166" t="s">
        <v>264</v>
      </c>
      <c r="U287" s="166" t="s">
        <v>264</v>
      </c>
      <c r="V287" s="166"/>
      <c r="W287" s="15"/>
      <c r="X287" s="15" t="s">
        <v>1384</v>
      </c>
      <c r="Y287" s="166"/>
      <c r="Z287" s="59" t="str">
        <f>IF(OR($M287="",NOT($O287="{array}")),"",IFERROR(MATCH(PARAMETERS!$M287,DEFAULT!$B$5:$CI$5,0),""))</f>
        <v/>
      </c>
      <c r="AA287" s="56" t="str">
        <f t="shared" si="17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IF($AA287="","",IF($B287="I",VLOOKUP($AA287,#REF!,53,0),INDEX(VALUES!$B$1:$BF$1,1,$AA287)))</f>
        <v/>
      </c>
    </row>
    <row r="288" spans="1:29" outlineLevel="1" x14ac:dyDescent="0.25">
      <c r="A288" s="22" t="s">
        <v>84</v>
      </c>
      <c r="B288" s="41" t="str">
        <f t="shared" si="19"/>
        <v/>
      </c>
      <c r="C288" s="42">
        <f t="shared" si="15"/>
        <v>287</v>
      </c>
      <c r="D288" s="246" t="s">
        <v>9</v>
      </c>
      <c r="E288" s="38"/>
      <c r="F288" s="247"/>
      <c r="G288" s="208"/>
      <c r="H288" s="38"/>
      <c r="I288" s="38" t="s">
        <v>9</v>
      </c>
      <c r="J288" s="38"/>
      <c r="K288" s="166" t="s">
        <v>18</v>
      </c>
      <c r="L288" s="53" t="s">
        <v>32</v>
      </c>
      <c r="M288" s="203" t="s">
        <v>1367</v>
      </c>
      <c r="N288" s="53" t="s">
        <v>1368</v>
      </c>
      <c r="O288" s="155" t="str">
        <f>"0000"</f>
        <v>0000</v>
      </c>
      <c r="P288" s="160" t="s">
        <v>264</v>
      </c>
      <c r="Q288" s="171" t="s">
        <v>9</v>
      </c>
      <c r="R288" s="171" t="s">
        <v>103</v>
      </c>
      <c r="S288" s="171" t="s">
        <v>112</v>
      </c>
      <c r="T288" s="166" t="s">
        <v>264</v>
      </c>
      <c r="U288" s="166" t="s">
        <v>264</v>
      </c>
      <c r="V288" s="166"/>
      <c r="W288" s="15"/>
      <c r="X288" s="15" t="s">
        <v>1384</v>
      </c>
      <c r="Y288" s="166"/>
      <c r="Z288" s="59" t="str">
        <f>IF(OR($M288="",NOT($O288="{array}")),"",IFERROR(MATCH(PARAMETERS!$M288,DEFAULT!$B$5:$CI$5,0),""))</f>
        <v/>
      </c>
      <c r="AA288" s="56" t="str">
        <f t="shared" si="17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IF($AA288="","",IF($B288="I",VLOOKUP($AA288,#REF!,53,0),INDEX(VALUES!$B$1:$BF$1,1,$AA288)))</f>
        <v/>
      </c>
    </row>
    <row r="289" spans="1:29" outlineLevel="1" x14ac:dyDescent="0.25">
      <c r="A289" s="22" t="s">
        <v>84</v>
      </c>
      <c r="B289" s="41" t="str">
        <f t="shared" si="19"/>
        <v/>
      </c>
      <c r="C289" s="42">
        <f t="shared" si="15"/>
        <v>288</v>
      </c>
      <c r="D289" s="246" t="s">
        <v>9</v>
      </c>
      <c r="E289" s="38"/>
      <c r="F289" s="247"/>
      <c r="G289" s="208"/>
      <c r="H289" s="38"/>
      <c r="I289" s="38" t="s">
        <v>9</v>
      </c>
      <c r="J289" s="38"/>
      <c r="K289" s="166" t="s">
        <v>18</v>
      </c>
      <c r="L289" s="53" t="s">
        <v>32</v>
      </c>
      <c r="M289" s="203" t="s">
        <v>1369</v>
      </c>
      <c r="N289" s="53" t="s">
        <v>1370</v>
      </c>
      <c r="O289" s="155" t="str">
        <f>"0000"</f>
        <v>0000</v>
      </c>
      <c r="P289" s="160" t="s">
        <v>264</v>
      </c>
      <c r="Q289" s="171" t="s">
        <v>9</v>
      </c>
      <c r="R289" s="171" t="s">
        <v>103</v>
      </c>
      <c r="S289" s="171" t="s">
        <v>112</v>
      </c>
      <c r="T289" s="166" t="s">
        <v>264</v>
      </c>
      <c r="U289" s="166" t="s">
        <v>264</v>
      </c>
      <c r="V289" s="166"/>
      <c r="W289" s="15"/>
      <c r="X289" s="15" t="s">
        <v>1384</v>
      </c>
      <c r="Y289" s="166"/>
      <c r="Z289" s="59" t="str">
        <f>IF(OR($M289="",NOT($O289="{array}")),"",IFERROR(MATCH(PARAMETERS!$M289,DEFAULT!$B$5:$CI$5,0),""))</f>
        <v/>
      </c>
      <c r="AA289" s="56" t="str">
        <f t="shared" si="17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IF($AA289="","",IF($B289="I",VLOOKUP($AA289,#REF!,53,0),INDEX(VALUES!$B$1:$BF$1,1,$AA289)))</f>
        <v/>
      </c>
    </row>
    <row r="290" spans="1:29" outlineLevel="1" x14ac:dyDescent="0.25">
      <c r="A290" s="22" t="s">
        <v>84</v>
      </c>
      <c r="B290" s="41" t="str">
        <f t="shared" si="19"/>
        <v/>
      </c>
      <c r="C290" s="42">
        <f t="shared" si="15"/>
        <v>289</v>
      </c>
      <c r="D290" s="246" t="s">
        <v>9</v>
      </c>
      <c r="E290" s="38"/>
      <c r="F290" s="247"/>
      <c r="G290" s="208"/>
      <c r="H290" s="38"/>
      <c r="I290" s="38" t="s">
        <v>9</v>
      </c>
      <c r="J290" s="38"/>
      <c r="K290" s="53" t="s">
        <v>44</v>
      </c>
      <c r="L290" s="53" t="s">
        <v>32</v>
      </c>
      <c r="M290" s="203" t="s">
        <v>1371</v>
      </c>
      <c r="N290" s="53" t="s">
        <v>1372</v>
      </c>
      <c r="O290" s="155">
        <v>30</v>
      </c>
      <c r="P290" s="160" t="s">
        <v>264</v>
      </c>
      <c r="Q290" s="171" t="s">
        <v>9</v>
      </c>
      <c r="R290" s="171" t="s">
        <v>103</v>
      </c>
      <c r="S290" s="171" t="s">
        <v>112</v>
      </c>
      <c r="T290" s="166" t="s">
        <v>264</v>
      </c>
      <c r="U290" s="166" t="s">
        <v>264</v>
      </c>
      <c r="V290" s="166"/>
      <c r="W290" s="15"/>
      <c r="X290" s="15" t="s">
        <v>1384</v>
      </c>
      <c r="Y290" s="166"/>
      <c r="Z290" s="59" t="str">
        <f>IF(OR($M290="",NOT($O290="{array}")),"",IFERROR(MATCH(PARAMETERS!$M290,DEFAULT!$B$5:$CI$5,0),""))</f>
        <v/>
      </c>
      <c r="AA290" s="56" t="str">
        <f t="shared" si="17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IF($AA290="","",IF($B290="I",VLOOKUP($AA290,#REF!,53,0),INDEX(VALUES!$B$1:$BF$1,1,$AA290)))</f>
        <v/>
      </c>
    </row>
    <row r="291" spans="1:29" outlineLevel="1" x14ac:dyDescent="0.25">
      <c r="A291" s="22" t="s">
        <v>84</v>
      </c>
      <c r="B291" s="41" t="str">
        <f t="shared" si="19"/>
        <v/>
      </c>
      <c r="C291" s="42">
        <f t="shared" si="15"/>
        <v>290</v>
      </c>
      <c r="D291" s="246" t="s">
        <v>9</v>
      </c>
      <c r="E291" s="38"/>
      <c r="F291" s="247"/>
      <c r="G291" s="208"/>
      <c r="H291" s="38"/>
      <c r="I291" s="38" t="s">
        <v>9</v>
      </c>
      <c r="J291" s="38"/>
      <c r="K291" s="53" t="s">
        <v>44</v>
      </c>
      <c r="L291" s="53" t="s">
        <v>32</v>
      </c>
      <c r="M291" s="203" t="s">
        <v>1374</v>
      </c>
      <c r="N291" s="53" t="s">
        <v>1373</v>
      </c>
      <c r="O291" s="155">
        <v>30</v>
      </c>
      <c r="P291" s="160" t="s">
        <v>264</v>
      </c>
      <c r="Q291" s="171" t="s">
        <v>9</v>
      </c>
      <c r="R291" s="171" t="s">
        <v>103</v>
      </c>
      <c r="S291" s="171" t="s">
        <v>112</v>
      </c>
      <c r="T291" s="166" t="s">
        <v>264</v>
      </c>
      <c r="U291" s="166" t="s">
        <v>264</v>
      </c>
      <c r="V291" s="166"/>
      <c r="W291" s="15"/>
      <c r="X291" s="15" t="s">
        <v>1384</v>
      </c>
      <c r="Y291" s="166"/>
      <c r="Z291" s="59" t="str">
        <f>IF(OR($M291="",NOT($O291="{array}")),"",IFERROR(MATCH(PARAMETERS!$M291,DEFAULT!$B$5:$CI$5,0),""))</f>
        <v/>
      </c>
      <c r="AA291" s="56" t="str">
        <f t="shared" si="17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IF($AA291="","",IF($B291="I",VLOOKUP($AA291,#REF!,53,0),INDEX(VALUES!$B$1:$BF$1,1,$AA291)))</f>
        <v/>
      </c>
    </row>
    <row r="292" spans="1:29" outlineLevel="1" x14ac:dyDescent="0.25">
      <c r="A292" s="22" t="s">
        <v>84</v>
      </c>
      <c r="B292" s="41" t="str">
        <f t="shared" si="19"/>
        <v/>
      </c>
      <c r="C292" s="42">
        <f t="shared" si="15"/>
        <v>291</v>
      </c>
      <c r="D292" s="246" t="s">
        <v>9</v>
      </c>
      <c r="E292" s="38"/>
      <c r="F292" s="247"/>
      <c r="G292" s="208"/>
      <c r="H292" s="38"/>
      <c r="I292" s="38" t="s">
        <v>9</v>
      </c>
      <c r="J292" s="38"/>
      <c r="K292" s="166" t="s">
        <v>18</v>
      </c>
      <c r="L292" s="53" t="s">
        <v>32</v>
      </c>
      <c r="M292" s="203" t="s">
        <v>1375</v>
      </c>
      <c r="N292" s="53" t="s">
        <v>1376</v>
      </c>
      <c r="O292" s="155"/>
      <c r="P292" s="160" t="s">
        <v>264</v>
      </c>
      <c r="Q292" s="171" t="s">
        <v>9</v>
      </c>
      <c r="R292" s="171" t="s">
        <v>103</v>
      </c>
      <c r="S292" s="171" t="s">
        <v>112</v>
      </c>
      <c r="T292" s="166" t="s">
        <v>264</v>
      </c>
      <c r="U292" s="166" t="s">
        <v>264</v>
      </c>
      <c r="V292" s="166"/>
      <c r="W292" s="15"/>
      <c r="X292" s="15" t="s">
        <v>1384</v>
      </c>
      <c r="Y292" s="166"/>
      <c r="Z292" s="59" t="str">
        <f>IF(OR($M292="",NOT($O292="{array}")),"",IFERROR(MATCH(PARAMETERS!$M292,DEFAULT!$B$5:$CI$5,0),""))</f>
        <v/>
      </c>
      <c r="AA292" s="56" t="str">
        <f t="shared" si="17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IF($AA292="","",IF($B292="I",VLOOKUP($AA292,#REF!,53,0),INDEX(VALUES!$B$1:$BF$1,1,$AA292)))</f>
        <v/>
      </c>
    </row>
    <row r="293" spans="1:29" outlineLevel="1" x14ac:dyDescent="0.25">
      <c r="A293" s="22" t="s">
        <v>84</v>
      </c>
      <c r="B293" s="41" t="str">
        <f t="shared" si="19"/>
        <v/>
      </c>
      <c r="C293" s="42">
        <f t="shared" si="15"/>
        <v>292</v>
      </c>
      <c r="D293" s="246" t="s">
        <v>9</v>
      </c>
      <c r="E293" s="38"/>
      <c r="F293" s="247"/>
      <c r="G293" s="208"/>
      <c r="H293" s="38"/>
      <c r="I293" s="38" t="s">
        <v>9</v>
      </c>
      <c r="J293" s="38"/>
      <c r="K293" s="53" t="s">
        <v>18</v>
      </c>
      <c r="L293" s="53" t="s">
        <v>32</v>
      </c>
      <c r="M293" s="203" t="s">
        <v>1361</v>
      </c>
      <c r="N293" s="53" t="s">
        <v>1362</v>
      </c>
      <c r="O293" s="155"/>
      <c r="P293" s="160" t="s">
        <v>264</v>
      </c>
      <c r="Q293" s="171" t="s">
        <v>9</v>
      </c>
      <c r="R293" s="171" t="s">
        <v>103</v>
      </c>
      <c r="S293" s="171" t="s">
        <v>112</v>
      </c>
      <c r="T293" s="166" t="s">
        <v>264</v>
      </c>
      <c r="U293" s="166" t="s">
        <v>264</v>
      </c>
      <c r="V293" s="166"/>
      <c r="W293" s="15"/>
      <c r="X293" s="15" t="s">
        <v>1384</v>
      </c>
      <c r="Y293" s="166"/>
      <c r="Z293" s="59" t="str">
        <f>IF(OR($M293="",NOT($O293="{array}")),"",IFERROR(MATCH(PARAMETERS!$M293,DEFAULT!$B$5:$CI$5,0),""))</f>
        <v/>
      </c>
      <c r="AA293" s="56" t="str">
        <f t="shared" si="17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IF($AA293="","",IF($B293="I",VLOOKUP($AA293,#REF!,53,0),INDEX(VALUES!$B$1:$BF$1,1,$AA293)))</f>
        <v/>
      </c>
    </row>
    <row r="294" spans="1:29" outlineLevel="1" x14ac:dyDescent="0.25">
      <c r="A294" s="22" t="s">
        <v>84</v>
      </c>
      <c r="B294" s="41" t="str">
        <f t="shared" si="19"/>
        <v>A</v>
      </c>
      <c r="C294" s="42">
        <f t="shared" si="15"/>
        <v>293</v>
      </c>
      <c r="D294" s="246" t="s">
        <v>9</v>
      </c>
      <c r="E294" s="38"/>
      <c r="F294" s="247"/>
      <c r="G294" s="208" t="s">
        <v>9</v>
      </c>
      <c r="H294" s="38"/>
      <c r="I294" s="38" t="s">
        <v>9</v>
      </c>
      <c r="J294" s="38"/>
      <c r="K294" s="53" t="s">
        <v>24</v>
      </c>
      <c r="L294" s="53" t="s">
        <v>32</v>
      </c>
      <c r="M294" s="203" t="s">
        <v>1377</v>
      </c>
      <c r="N294" s="53" t="s">
        <v>1378</v>
      </c>
      <c r="O294" s="155" t="s">
        <v>33</v>
      </c>
      <c r="P294" s="160" t="s">
        <v>264</v>
      </c>
      <c r="Q294" s="171"/>
      <c r="R294" s="171" t="s">
        <v>103</v>
      </c>
      <c r="S294" s="171" t="s">
        <v>112</v>
      </c>
      <c r="T294" s="166" t="s">
        <v>264</v>
      </c>
      <c r="U294" s="166" t="s">
        <v>264</v>
      </c>
      <c r="V294" s="166"/>
      <c r="W294" s="15"/>
      <c r="X294" s="15" t="s">
        <v>1384</v>
      </c>
      <c r="Y294" s="166"/>
      <c r="Z294" s="59">
        <f>IF(OR($M294="",NOT($O294="{array}")),"",IFERROR(MATCH(PARAMETERS!$M294,DEFAULT!$B$5:$CI$5,0),""))</f>
        <v>7</v>
      </c>
      <c r="AA294" s="56" t="str">
        <f t="shared" si="17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IF($AA294="","",IF($B294="I",VLOOKUP($AA294,#REF!,53,0),INDEX(VALUES!$B$1:$BF$1,1,$AA294)))</f>
        <v/>
      </c>
    </row>
    <row r="295" spans="1:29" x14ac:dyDescent="0.3">
      <c r="A295" s="22" t="s">
        <v>84</v>
      </c>
      <c r="B295" s="41" t="str">
        <f t="shared" si="19"/>
        <v/>
      </c>
      <c r="C295" s="42">
        <f t="shared" si="15"/>
        <v>294</v>
      </c>
      <c r="D295" s="246"/>
      <c r="E295" s="38"/>
      <c r="F295" s="247"/>
      <c r="G295" s="208"/>
      <c r="H295" s="38"/>
      <c r="I295" s="38"/>
      <c r="J295" s="38"/>
      <c r="K295" s="248" t="s">
        <v>57</v>
      </c>
      <c r="L295" s="248" t="s">
        <v>38</v>
      </c>
      <c r="M295" s="249" t="s">
        <v>1351</v>
      </c>
      <c r="N295" s="250" t="s">
        <v>1352</v>
      </c>
      <c r="R295" s="38" t="s">
        <v>103</v>
      </c>
      <c r="S295" s="38"/>
      <c r="T295" s="38"/>
      <c r="W295" s="15"/>
      <c r="X295" s="15" t="s">
        <v>1385</v>
      </c>
      <c r="Z295" s="59" t="str">
        <f>IF(OR($M295="",NOT($O295="{array}")),"",IFERROR(MATCH(PARAMETERS!$M295,DEFAULT!$B$5:$CI$5,0),""))</f>
        <v/>
      </c>
      <c r="AA295" s="56" t="str">
        <f t="shared" si="17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/>
    </row>
    <row r="296" spans="1:29" outlineLevel="1" x14ac:dyDescent="0.25">
      <c r="A296" s="22" t="s">
        <v>84</v>
      </c>
      <c r="B296" s="41" t="str">
        <f t="shared" si="19"/>
        <v/>
      </c>
      <c r="C296" s="42">
        <f t="shared" si="15"/>
        <v>295</v>
      </c>
      <c r="D296" s="246" t="s">
        <v>9</v>
      </c>
      <c r="E296" s="38"/>
      <c r="F296" s="247"/>
      <c r="G296" s="208"/>
      <c r="H296" s="38"/>
      <c r="I296" s="38" t="s">
        <v>9</v>
      </c>
      <c r="J296" s="38"/>
      <c r="K296" s="166" t="s">
        <v>18</v>
      </c>
      <c r="L296" s="167" t="s">
        <v>27</v>
      </c>
      <c r="M296" s="203" t="s">
        <v>1353</v>
      </c>
      <c r="N296" s="166" t="s">
        <v>1354</v>
      </c>
      <c r="O296" s="254" t="s">
        <v>968</v>
      </c>
      <c r="P296" s="160" t="s">
        <v>264</v>
      </c>
      <c r="Q296" s="171"/>
      <c r="R296" s="171" t="s">
        <v>103</v>
      </c>
      <c r="S296" s="171" t="s">
        <v>112</v>
      </c>
      <c r="T296" s="166" t="s">
        <v>264</v>
      </c>
      <c r="U296" s="166" t="s">
        <v>264</v>
      </c>
      <c r="V296" s="166" t="s">
        <v>1355</v>
      </c>
      <c r="W296" s="15"/>
      <c r="X296" s="15" t="s">
        <v>1384</v>
      </c>
      <c r="Y296" s="166" t="s">
        <v>1356</v>
      </c>
      <c r="Z296" s="59" t="str">
        <f>IF(OR($M296="",NOT($O296="{array}")),"",IFERROR(MATCH(PARAMETERS!$M296,DEFAULT!$B$5:$CI$5,0),""))</f>
        <v/>
      </c>
      <c r="AA296" s="56" t="str">
        <f t="shared" si="17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/>
    </row>
    <row r="297" spans="1:29" outlineLevel="1" x14ac:dyDescent="0.25">
      <c r="A297" s="22" t="s">
        <v>84</v>
      </c>
      <c r="B297" s="41" t="str">
        <f t="shared" si="19"/>
        <v/>
      </c>
      <c r="C297" s="42">
        <f t="shared" si="15"/>
        <v>296</v>
      </c>
      <c r="D297" s="246" t="s">
        <v>9</v>
      </c>
      <c r="E297" s="38"/>
      <c r="F297" s="247"/>
      <c r="G297" s="208"/>
      <c r="H297" s="38"/>
      <c r="I297" s="38" t="s">
        <v>9</v>
      </c>
      <c r="J297" s="38"/>
      <c r="K297" s="166" t="s">
        <v>18</v>
      </c>
      <c r="L297" s="167" t="s">
        <v>27</v>
      </c>
      <c r="M297" s="203" t="s">
        <v>1357</v>
      </c>
      <c r="N297" s="166" t="s">
        <v>1358</v>
      </c>
      <c r="O297" s="166" t="s">
        <v>968</v>
      </c>
      <c r="P297" s="160" t="s">
        <v>264</v>
      </c>
      <c r="Q297" s="171"/>
      <c r="R297" s="171" t="s">
        <v>103</v>
      </c>
      <c r="S297" s="171" t="s">
        <v>112</v>
      </c>
      <c r="T297" s="166" t="s">
        <v>264</v>
      </c>
      <c r="U297" s="166" t="s">
        <v>264</v>
      </c>
      <c r="V297" s="166" t="s">
        <v>1359</v>
      </c>
      <c r="W297" s="15"/>
      <c r="X297" s="15" t="s">
        <v>1384</v>
      </c>
      <c r="Y297" s="166" t="s">
        <v>1360</v>
      </c>
      <c r="Z297" s="59" t="str">
        <f>IF(OR($M297="",NOT($O297="{array}")),"",IFERROR(MATCH(PARAMETERS!$M297,DEFAULT!$B$5:$CI$5,0),""))</f>
        <v/>
      </c>
      <c r="AA297" s="56" t="str">
        <f t="shared" si="17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/>
    </row>
    <row r="298" spans="1:29" x14ac:dyDescent="0.3">
      <c r="A298" s="22" t="s">
        <v>84</v>
      </c>
      <c r="B298" s="41" t="str">
        <f>IF($A298="P",IF(NOT($Z298=""),"A",IF(NOT($AA298=""),"I","")),IF(NOT($Z298=""),"A",IF(NOT($AA298=""),IF($A298="G","V","X"),"")))</f>
        <v/>
      </c>
      <c r="C298" s="42">
        <f t="shared" si="15"/>
        <v>297</v>
      </c>
      <c r="D298" s="38"/>
      <c r="E298" s="38"/>
      <c r="F298" s="38"/>
      <c r="G298" s="38"/>
      <c r="H298" s="38"/>
      <c r="I298" s="38"/>
      <c r="J298" s="38"/>
      <c r="K298" s="14" t="s">
        <v>57</v>
      </c>
      <c r="L298" s="14" t="s">
        <v>38</v>
      </c>
      <c r="M298" s="48" t="s">
        <v>1012</v>
      </c>
      <c r="N298" s="41" t="s">
        <v>1013</v>
      </c>
      <c r="R298" s="38" t="s">
        <v>103</v>
      </c>
      <c r="S298" s="38"/>
      <c r="Z298" s="59" t="str">
        <f>IF(OR($M298="",NOT($O298="{array}")),"",IFERROR(MATCH(PARAMETERS!$M298,DEFAULT!$B$5:$CI$5,0),""))</f>
        <v/>
      </c>
      <c r="AA298" s="56" t="str">
        <f t="shared" si="17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/>
    </row>
    <row r="299" spans="1:29" outlineLevel="1" x14ac:dyDescent="0.3">
      <c r="A299" s="22" t="s">
        <v>84</v>
      </c>
      <c r="B299" s="41" t="str">
        <f>IF($A299="P",IF(NOT($Z299=""),"A",IF(NOT($AA299=""),"I","")),IF(NOT($Z299=""),"A",IF(NOT($AA299=""),IF($A299="G","V","X"),"")))</f>
        <v/>
      </c>
      <c r="C299" s="42">
        <f t="shared" si="15"/>
        <v>298</v>
      </c>
      <c r="D299" s="38"/>
      <c r="E299" s="38"/>
      <c r="F299" s="38"/>
      <c r="G299" s="38"/>
      <c r="H299" s="38"/>
      <c r="I299" s="38" t="s">
        <v>9</v>
      </c>
      <c r="J299" s="38"/>
      <c r="K299" s="53" t="s">
        <v>18</v>
      </c>
      <c r="L299" s="53" t="s">
        <v>32</v>
      </c>
      <c r="M299" s="240" t="s">
        <v>1014</v>
      </c>
      <c r="N299" s="53" t="s">
        <v>1015</v>
      </c>
      <c r="O299" s="17" t="s">
        <v>1016</v>
      </c>
      <c r="R299" s="171" t="s">
        <v>103</v>
      </c>
      <c r="S299" s="171" t="s">
        <v>112</v>
      </c>
      <c r="Z299" s="59" t="str">
        <f>IF(OR($M299="",NOT($O299="{array}")),"",IFERROR(MATCH(PARAMETERS!$M299,DEFAULT!$B$5:$CI$5,0),""))</f>
        <v/>
      </c>
      <c r="AA299" s="56" t="str">
        <f t="shared" si="17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/>
    </row>
    <row r="300" spans="1:29" outlineLevel="1" x14ac:dyDescent="0.3">
      <c r="A300" s="22" t="s">
        <v>84</v>
      </c>
      <c r="B300" s="41" t="str">
        <f>IF($A300="P",IF(NOT($Z300=""),"A",IF(NOT($AA300=""),"I","")),IF(NOT($Z300=""),"A",IF(NOT($AA300=""),IF($A300="G","V","X"),"")))</f>
        <v/>
      </c>
      <c r="C300" s="42">
        <f t="shared" si="15"/>
        <v>299</v>
      </c>
      <c r="D300" s="38"/>
      <c r="E300" s="38"/>
      <c r="F300" s="38"/>
      <c r="G300" s="38"/>
      <c r="H300" s="38"/>
      <c r="I300" s="38" t="s">
        <v>9</v>
      </c>
      <c r="J300" s="38"/>
      <c r="K300" s="53" t="s">
        <v>18</v>
      </c>
      <c r="L300" s="53" t="s">
        <v>32</v>
      </c>
      <c r="M300" s="240" t="s">
        <v>1017</v>
      </c>
      <c r="N300" s="53" t="s">
        <v>1018</v>
      </c>
      <c r="O300" s="17" t="s">
        <v>84</v>
      </c>
      <c r="R300" s="171" t="s">
        <v>103</v>
      </c>
      <c r="S300" s="171" t="s">
        <v>112</v>
      </c>
      <c r="Z300" s="59" t="str">
        <f>IF(OR($M300="",NOT($O300="{array}")),"",IFERROR(MATCH(PARAMETERS!$M300,DEFAULT!$B$5:$CI$5,0),""))</f>
        <v/>
      </c>
      <c r="AA300" s="56" t="str">
        <f t="shared" si="17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/>
    </row>
    <row r="301" spans="1:29" outlineLevel="1" x14ac:dyDescent="0.3">
      <c r="A301" s="22" t="s">
        <v>84</v>
      </c>
      <c r="B301" s="41" t="str">
        <f>IF($A301="P",IF(NOT($Z301=""),"A",IF(NOT($AA301=""),"I","")),IF(NOT($AA301=""),IF($A301="G","V","X"),IF(NOT($Z301=""),"A","")))</f>
        <v/>
      </c>
      <c r="C301" s="42">
        <f t="shared" si="15"/>
        <v>300</v>
      </c>
      <c r="D301" s="38"/>
      <c r="E301" s="38"/>
      <c r="F301" s="38"/>
      <c r="G301" s="38"/>
      <c r="H301" s="38"/>
      <c r="I301" s="38" t="s">
        <v>9</v>
      </c>
      <c r="J301" s="38"/>
      <c r="K301" s="159" t="s">
        <v>18</v>
      </c>
      <c r="L301" s="167" t="s">
        <v>21</v>
      </c>
      <c r="M301" s="240" t="s">
        <v>1019</v>
      </c>
      <c r="N301" s="159" t="s">
        <v>1020</v>
      </c>
      <c r="O301" s="166" t="s">
        <v>1021</v>
      </c>
      <c r="P301" s="160" t="s">
        <v>264</v>
      </c>
      <c r="Q301" s="178"/>
      <c r="R301" s="171" t="s">
        <v>103</v>
      </c>
      <c r="S301" s="171" t="s">
        <v>112</v>
      </c>
      <c r="Z301" s="59" t="str">
        <f>IF(OR($M301="",NOT($O301="{array}")),"",IFERROR(MATCH(PARAMETERS!$M301,DEFAULT!$B$5:$CI$5,0),""))</f>
        <v/>
      </c>
      <c r="AA301" s="56" t="str">
        <f t="shared" si="17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/>
    </row>
    <row r="302" spans="1:29" outlineLevel="1" x14ac:dyDescent="0.3">
      <c r="A302" s="22" t="s">
        <v>84</v>
      </c>
      <c r="B302" s="41" t="str">
        <f>IF($A302="P",IF(NOT($Z302=""),"A",IF(NOT($AA302=""),"I","")),IF(NOT($AA302=""),IF($A302="G","V","X"),IF(NOT($Z302=""),"A","")))</f>
        <v/>
      </c>
      <c r="C302" s="42">
        <f t="shared" si="15"/>
        <v>301</v>
      </c>
      <c r="D302" s="38"/>
      <c r="E302" s="38"/>
      <c r="F302" s="38"/>
      <c r="G302" s="38"/>
      <c r="H302" s="38"/>
      <c r="I302" s="38" t="s">
        <v>9</v>
      </c>
      <c r="J302" s="38"/>
      <c r="K302" s="159" t="s">
        <v>44</v>
      </c>
      <c r="L302" s="167" t="s">
        <v>21</v>
      </c>
      <c r="M302" s="240" t="s">
        <v>1022</v>
      </c>
      <c r="N302" s="166" t="s">
        <v>1023</v>
      </c>
      <c r="O302" s="166">
        <v>0</v>
      </c>
      <c r="P302" s="160" t="s">
        <v>264</v>
      </c>
      <c r="Q302" s="178"/>
      <c r="R302" s="171" t="s">
        <v>195</v>
      </c>
      <c r="S302" s="171" t="s">
        <v>112</v>
      </c>
      <c r="Z302" s="59" t="str">
        <f>IF(OR($M302="",NOT($O302="{array}")),"",IFERROR(MATCH(PARAMETERS!$M302,DEFAULT!$B$5:$CI$5,0),""))</f>
        <v/>
      </c>
      <c r="AA302" s="56" t="str">
        <f t="shared" si="17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/>
    </row>
    <row r="303" spans="1:29" outlineLevel="1" x14ac:dyDescent="0.3">
      <c r="A303" s="22" t="s">
        <v>84</v>
      </c>
      <c r="B303" s="41" t="str">
        <f>IF($A303="P",IF(NOT($Z303=""),"A",IF(NOT($AA303=""),"I","")),IF(NOT($AA303=""),IF($A303="G","V","X"),IF(NOT($Z303=""),"A","")))</f>
        <v/>
      </c>
      <c r="C303" s="42">
        <f t="shared" si="15"/>
        <v>302</v>
      </c>
      <c r="D303" s="38"/>
      <c r="E303" s="38"/>
      <c r="F303" s="38"/>
      <c r="G303" s="38"/>
      <c r="H303" s="38"/>
      <c r="I303" s="38" t="s">
        <v>9</v>
      </c>
      <c r="J303" s="38"/>
      <c r="K303" s="159" t="s">
        <v>18</v>
      </c>
      <c r="L303" s="167" t="s">
        <v>21</v>
      </c>
      <c r="M303" s="240" t="s">
        <v>1024</v>
      </c>
      <c r="N303" s="166" t="s">
        <v>1025</v>
      </c>
      <c r="O303" s="166" t="s">
        <v>1026</v>
      </c>
      <c r="P303" s="160" t="s">
        <v>264</v>
      </c>
      <c r="Q303" s="178" t="s">
        <v>9</v>
      </c>
      <c r="R303" s="171" t="s">
        <v>103</v>
      </c>
      <c r="S303" s="171" t="s">
        <v>112</v>
      </c>
      <c r="Z303" s="59" t="str">
        <f>IF(OR($M303="",NOT($O303="{array}")),"",IFERROR(MATCH(PARAMETERS!$M303,DEFAULT!$B$5:$CI$5,0),""))</f>
        <v/>
      </c>
      <c r="AA303" s="56" t="str">
        <f t="shared" si="17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/>
    </row>
    <row r="304" spans="1:29" x14ac:dyDescent="0.3">
      <c r="A304" s="22" t="s">
        <v>84</v>
      </c>
      <c r="B304" s="41" t="str">
        <f t="shared" ref="B304:B342" si="21">IF($A304="P",IF(NOT($Z304=""),"A",IF(NOT($AA304=""),"I","")),IF(NOT($AA304=""),IF($A304="G","V","X"),IF(NOT($Z304=""),"A","")))</f>
        <v/>
      </c>
      <c r="C304" s="42">
        <f t="shared" ref="C304:C322" si="22">(ROW()-1)</f>
        <v>303</v>
      </c>
      <c r="D304" s="38"/>
      <c r="E304" s="38"/>
      <c r="F304" s="38"/>
      <c r="G304" s="38"/>
      <c r="H304" s="38"/>
      <c r="I304" s="38"/>
      <c r="J304" s="38"/>
      <c r="K304" s="14" t="s">
        <v>57</v>
      </c>
      <c r="L304" s="14" t="s">
        <v>38</v>
      </c>
      <c r="M304" s="48" t="s">
        <v>656</v>
      </c>
      <c r="N304" s="41" t="s">
        <v>657</v>
      </c>
      <c r="R304" s="38" t="s">
        <v>103</v>
      </c>
      <c r="S304" s="38"/>
      <c r="T304" s="38"/>
      <c r="W304" s="15"/>
      <c r="Z304" s="59" t="str">
        <f>IF(OR($M304="",NOT($O304="{array}")),"",IFERROR(MATCH(PARAMETERS!$M304,DEFAULT!$B$5:$CI$5,0),""))</f>
        <v/>
      </c>
      <c r="AA304" s="56" t="str">
        <f t="shared" si="17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/>
    </row>
    <row r="305" spans="1:29" outlineLevel="1" x14ac:dyDescent="0.3">
      <c r="A305" s="22" t="s">
        <v>84</v>
      </c>
      <c r="B305" s="41" t="str">
        <f t="shared" si="21"/>
        <v/>
      </c>
      <c r="C305" s="42">
        <f t="shared" si="22"/>
        <v>304</v>
      </c>
      <c r="D305" s="38"/>
      <c r="E305" s="38"/>
      <c r="F305" s="38"/>
      <c r="G305" s="38"/>
      <c r="H305" s="38"/>
      <c r="I305" s="38" t="s">
        <v>9</v>
      </c>
      <c r="J305" s="38"/>
      <c r="K305" s="159" t="s">
        <v>18</v>
      </c>
      <c r="L305" s="167" t="s">
        <v>21</v>
      </c>
      <c r="M305" s="240" t="s">
        <v>945</v>
      </c>
      <c r="N305" s="166" t="s">
        <v>658</v>
      </c>
      <c r="O305" s="166" t="s">
        <v>34</v>
      </c>
      <c r="P305" s="160" t="s">
        <v>264</v>
      </c>
      <c r="Q305" s="171"/>
      <c r="R305" s="171" t="s">
        <v>103</v>
      </c>
      <c r="S305" s="171" t="s">
        <v>112</v>
      </c>
      <c r="T305" s="166" t="s">
        <v>264</v>
      </c>
      <c r="U305" s="166" t="s">
        <v>264</v>
      </c>
      <c r="V305" s="166" t="s">
        <v>658</v>
      </c>
      <c r="W305" s="15"/>
      <c r="X305" s="160" t="s">
        <v>264</v>
      </c>
      <c r="Y305" s="166" t="s">
        <v>659</v>
      </c>
      <c r="Z305" s="59" t="str">
        <f>IF(OR($M305="",NOT($O305="{array}")),"",IFERROR(MATCH(PARAMETERS!$M305,DEFAULT!$B$5:$CI$5,0),""))</f>
        <v/>
      </c>
      <c r="AA305" s="56" t="str">
        <f t="shared" si="17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/>
    </row>
    <row r="306" spans="1:29" outlineLevel="1" x14ac:dyDescent="0.3">
      <c r="A306" s="22" t="s">
        <v>84</v>
      </c>
      <c r="B306" s="41" t="str">
        <f t="shared" si="21"/>
        <v/>
      </c>
      <c r="C306" s="42">
        <f t="shared" si="22"/>
        <v>305</v>
      </c>
      <c r="D306" s="38"/>
      <c r="E306" s="38"/>
      <c r="F306" s="38"/>
      <c r="G306" s="38"/>
      <c r="H306" s="38"/>
      <c r="I306" s="38" t="s">
        <v>9</v>
      </c>
      <c r="J306" s="38"/>
      <c r="K306" s="159" t="s">
        <v>18</v>
      </c>
      <c r="L306" s="167" t="s">
        <v>21</v>
      </c>
      <c r="M306" s="240" t="s">
        <v>943</v>
      </c>
      <c r="N306" s="159" t="s">
        <v>942</v>
      </c>
      <c r="O306" s="166" t="s">
        <v>264</v>
      </c>
      <c r="P306" s="160" t="s">
        <v>264</v>
      </c>
      <c r="Q306" s="178" t="s">
        <v>9</v>
      </c>
      <c r="R306" s="171" t="s">
        <v>103</v>
      </c>
      <c r="S306" s="171" t="s">
        <v>112</v>
      </c>
      <c r="T306" s="166" t="s">
        <v>264</v>
      </c>
      <c r="U306" s="166" t="s">
        <v>264</v>
      </c>
      <c r="V306" s="166"/>
      <c r="W306" s="15"/>
      <c r="X306" s="160" t="s">
        <v>264</v>
      </c>
      <c r="Y306" s="166" t="s">
        <v>264</v>
      </c>
      <c r="Z306" s="59" t="str">
        <f>IF(OR($M306="",NOT($O306="{array}")),"",IFERROR(MATCH(PARAMETERS!$M306,DEFAULT!$B$5:$CI$5,0),""))</f>
        <v/>
      </c>
      <c r="AA306" s="56" t="str">
        <f t="shared" si="17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/>
    </row>
    <row r="307" spans="1:29" outlineLevel="1" x14ac:dyDescent="0.3">
      <c r="A307" s="22" t="s">
        <v>84</v>
      </c>
      <c r="B307" s="41" t="str">
        <f t="shared" si="21"/>
        <v/>
      </c>
      <c r="C307" s="42">
        <f t="shared" si="22"/>
        <v>306</v>
      </c>
      <c r="D307" s="38"/>
      <c r="E307" s="38"/>
      <c r="F307" s="38"/>
      <c r="G307" s="38"/>
      <c r="H307" s="38"/>
      <c r="I307" s="38" t="s">
        <v>9</v>
      </c>
      <c r="J307" s="38"/>
      <c r="K307" s="159" t="s">
        <v>18</v>
      </c>
      <c r="L307" s="167" t="s">
        <v>21</v>
      </c>
      <c r="M307" s="240" t="s">
        <v>944</v>
      </c>
      <c r="N307" s="166" t="s">
        <v>671</v>
      </c>
      <c r="O307" s="166" t="s">
        <v>264</v>
      </c>
      <c r="P307" s="160" t="s">
        <v>264</v>
      </c>
      <c r="Q307" s="178" t="s">
        <v>9</v>
      </c>
      <c r="R307" s="171" t="s">
        <v>103</v>
      </c>
      <c r="S307" s="171" t="s">
        <v>112</v>
      </c>
      <c r="T307" s="166" t="s">
        <v>264</v>
      </c>
      <c r="U307" s="166" t="s">
        <v>264</v>
      </c>
      <c r="V307" s="166" t="s">
        <v>671</v>
      </c>
      <c r="W307" s="15"/>
      <c r="X307" s="160" t="s">
        <v>264</v>
      </c>
      <c r="Y307" s="166" t="s">
        <v>264</v>
      </c>
      <c r="Z307" s="59" t="str">
        <f>IF(OR($M307="",NOT($O307="{array}")),"",IFERROR(MATCH(PARAMETERS!$M307,DEFAULT!$B$5:$CI$5,0),""))</f>
        <v/>
      </c>
      <c r="AA307" s="56" t="str">
        <f t="shared" si="17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/>
    </row>
    <row r="308" spans="1:29" outlineLevel="1" x14ac:dyDescent="0.3">
      <c r="A308" s="22" t="s">
        <v>84</v>
      </c>
      <c r="B308" s="41" t="str">
        <f t="shared" si="21"/>
        <v/>
      </c>
      <c r="C308" s="42">
        <f t="shared" si="22"/>
        <v>307</v>
      </c>
      <c r="D308" s="38"/>
      <c r="E308" s="38"/>
      <c r="F308" s="38"/>
      <c r="G308" s="38"/>
      <c r="H308" s="38"/>
      <c r="I308" s="38" t="s">
        <v>9</v>
      </c>
      <c r="J308" s="38"/>
      <c r="K308" s="159" t="s">
        <v>18</v>
      </c>
      <c r="L308" s="167" t="s">
        <v>21</v>
      </c>
      <c r="M308" s="240" t="s">
        <v>991</v>
      </c>
      <c r="N308" s="166" t="s">
        <v>992</v>
      </c>
      <c r="O308" s="166" t="s">
        <v>264</v>
      </c>
      <c r="P308" s="160" t="s">
        <v>264</v>
      </c>
      <c r="Q308" s="178" t="s">
        <v>9</v>
      </c>
      <c r="R308" s="171" t="s">
        <v>103</v>
      </c>
      <c r="S308" s="171" t="s">
        <v>112</v>
      </c>
      <c r="T308" s="166" t="s">
        <v>264</v>
      </c>
      <c r="U308" s="166" t="s">
        <v>264</v>
      </c>
      <c r="V308" s="166"/>
      <c r="W308" s="15"/>
      <c r="X308" s="160"/>
      <c r="Y308" s="166"/>
      <c r="Z308" s="59" t="str">
        <f>IF(OR($M308="",NOT($O308="{array}")),"",IFERROR(MATCH(PARAMETERS!$M308,DEFAULT!$B$5:$CI$5,0),""))</f>
        <v/>
      </c>
      <c r="AA308" s="56" t="str">
        <f t="shared" si="17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/>
    </row>
    <row r="309" spans="1:29" outlineLevel="1" x14ac:dyDescent="0.3">
      <c r="A309" s="22" t="s">
        <v>84</v>
      </c>
      <c r="B309" s="41" t="str">
        <f t="shared" si="21"/>
        <v/>
      </c>
      <c r="C309" s="42">
        <f t="shared" si="22"/>
        <v>308</v>
      </c>
      <c r="D309" s="38"/>
      <c r="E309" s="38"/>
      <c r="F309" s="38"/>
      <c r="G309" s="38"/>
      <c r="H309" s="38"/>
      <c r="I309" s="38" t="s">
        <v>9</v>
      </c>
      <c r="J309" s="38"/>
      <c r="K309" s="159" t="s">
        <v>18</v>
      </c>
      <c r="L309" s="167" t="s">
        <v>21</v>
      </c>
      <c r="M309" s="240" t="s">
        <v>947</v>
      </c>
      <c r="N309" s="166" t="s">
        <v>660</v>
      </c>
      <c r="O309" s="166" t="s">
        <v>966</v>
      </c>
      <c r="P309" s="160" t="s">
        <v>264</v>
      </c>
      <c r="Q309" s="178" t="s">
        <v>9</v>
      </c>
      <c r="R309" s="171" t="s">
        <v>103</v>
      </c>
      <c r="S309" s="171" t="s">
        <v>112</v>
      </c>
      <c r="T309" s="166" t="s">
        <v>264</v>
      </c>
      <c r="U309" s="166" t="s">
        <v>264</v>
      </c>
      <c r="V309" s="166" t="s">
        <v>660</v>
      </c>
      <c r="W309" s="15"/>
      <c r="X309" s="160" t="s">
        <v>264</v>
      </c>
      <c r="Y309" s="166" t="s">
        <v>661</v>
      </c>
      <c r="Z309" s="59" t="str">
        <f>IF(OR($M309="",NOT($O309="{array}")),"",IFERROR(MATCH(PARAMETERS!$M309,DEFAULT!$B$5:$CI$5,0),""))</f>
        <v/>
      </c>
      <c r="AA309" s="56" t="str">
        <f t="shared" si="17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/>
    </row>
    <row r="310" spans="1:29" outlineLevel="1" x14ac:dyDescent="0.3">
      <c r="A310" s="22" t="s">
        <v>84</v>
      </c>
      <c r="B310" s="41" t="str">
        <f t="shared" si="21"/>
        <v/>
      </c>
      <c r="C310" s="42">
        <f t="shared" si="22"/>
        <v>309</v>
      </c>
      <c r="D310" s="38"/>
      <c r="E310" s="38"/>
      <c r="F310" s="38"/>
      <c r="G310" s="38"/>
      <c r="H310" s="38"/>
      <c r="I310" s="38" t="s">
        <v>9</v>
      </c>
      <c r="J310" s="38"/>
      <c r="K310" s="159" t="s">
        <v>18</v>
      </c>
      <c r="L310" s="167" t="s">
        <v>21</v>
      </c>
      <c r="M310" s="240" t="s">
        <v>951</v>
      </c>
      <c r="N310" s="159" t="s">
        <v>668</v>
      </c>
      <c r="O310" s="166" t="s">
        <v>264</v>
      </c>
      <c r="P310" s="160" t="s">
        <v>264</v>
      </c>
      <c r="Q310" s="178" t="s">
        <v>9</v>
      </c>
      <c r="R310" s="171" t="s">
        <v>103</v>
      </c>
      <c r="S310" s="171" t="s">
        <v>112</v>
      </c>
      <c r="T310" s="166" t="s">
        <v>264</v>
      </c>
      <c r="U310" s="166" t="s">
        <v>264</v>
      </c>
      <c r="V310" s="166"/>
      <c r="W310" s="15"/>
      <c r="X310" s="160"/>
      <c r="Y310" s="166"/>
      <c r="Z310" s="59" t="str">
        <f>IF(OR($M310="",NOT($O310="{array}")),"",IFERROR(MATCH(PARAMETERS!$M310,DEFAULT!$B$5:$CI$5,0),""))</f>
        <v/>
      </c>
      <c r="AA310" s="56" t="str">
        <f t="shared" si="17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/>
    </row>
    <row r="311" spans="1:29" outlineLevel="1" x14ac:dyDescent="0.3">
      <c r="A311" s="22" t="s">
        <v>84</v>
      </c>
      <c r="B311" s="41" t="str">
        <f t="shared" si="21"/>
        <v/>
      </c>
      <c r="C311" s="42">
        <f t="shared" si="22"/>
        <v>310</v>
      </c>
      <c r="D311" s="38"/>
      <c r="E311" s="38"/>
      <c r="F311" s="38"/>
      <c r="G311" s="38"/>
      <c r="H311" s="38"/>
      <c r="I311" s="38" t="s">
        <v>9</v>
      </c>
      <c r="J311" s="38"/>
      <c r="K311" s="159" t="s">
        <v>18</v>
      </c>
      <c r="L311" s="167" t="s">
        <v>21</v>
      </c>
      <c r="M311" s="229" t="s">
        <v>948</v>
      </c>
      <c r="N311" s="166" t="s">
        <v>662</v>
      </c>
      <c r="O311" s="166" t="s">
        <v>981</v>
      </c>
      <c r="P311" s="160" t="s">
        <v>264</v>
      </c>
      <c r="Q311" s="178"/>
      <c r="R311" s="171" t="s">
        <v>103</v>
      </c>
      <c r="S311" s="171" t="s">
        <v>112</v>
      </c>
      <c r="T311" s="166" t="s">
        <v>264</v>
      </c>
      <c r="U311" s="166" t="s">
        <v>264</v>
      </c>
      <c r="V311" s="166" t="s">
        <v>662</v>
      </c>
      <c r="W311" s="15"/>
      <c r="X311" s="160" t="s">
        <v>264</v>
      </c>
      <c r="Y311" s="166" t="s">
        <v>663</v>
      </c>
      <c r="Z311" s="59" t="str">
        <f>IF(OR($M311="",NOT($O311="{array}")),"",IFERROR(MATCH(PARAMETERS!$M311,DEFAULT!$B$5:$CI$5,0),""))</f>
        <v/>
      </c>
      <c r="AA311" s="56" t="str">
        <f t="shared" si="17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/>
    </row>
    <row r="312" spans="1:29" outlineLevel="1" x14ac:dyDescent="0.3">
      <c r="A312" s="22" t="s">
        <v>84</v>
      </c>
      <c r="B312" s="41" t="str">
        <f t="shared" si="21"/>
        <v/>
      </c>
      <c r="C312" s="42">
        <f t="shared" si="22"/>
        <v>311</v>
      </c>
      <c r="D312" s="38"/>
      <c r="E312" s="38"/>
      <c r="F312" s="38"/>
      <c r="G312" s="38"/>
      <c r="H312" s="38"/>
      <c r="I312" s="38" t="s">
        <v>9</v>
      </c>
      <c r="J312" s="38"/>
      <c r="K312" s="159" t="s">
        <v>44</v>
      </c>
      <c r="L312" s="53" t="s">
        <v>27</v>
      </c>
      <c r="M312" s="229" t="s">
        <v>949</v>
      </c>
      <c r="N312" s="166" t="s">
        <v>664</v>
      </c>
      <c r="O312" s="166">
        <v>2</v>
      </c>
      <c r="P312" s="160" t="s">
        <v>264</v>
      </c>
      <c r="Q312" s="178"/>
      <c r="R312" s="171" t="s">
        <v>103</v>
      </c>
      <c r="S312" s="171" t="s">
        <v>112</v>
      </c>
      <c r="T312" s="166" t="s">
        <v>264</v>
      </c>
      <c r="U312" s="166" t="s">
        <v>264</v>
      </c>
      <c r="V312" s="166" t="s">
        <v>664</v>
      </c>
      <c r="W312" s="15"/>
      <c r="X312" s="160" t="s">
        <v>264</v>
      </c>
      <c r="Y312" s="166" t="s">
        <v>665</v>
      </c>
      <c r="Z312" s="59" t="str">
        <f>IF(OR($M312="",NOT($O312="{array}")),"",IFERROR(MATCH(PARAMETERS!$M312,DEFAULT!$B$5:$CI$5,0),""))</f>
        <v/>
      </c>
      <c r="AA312" s="56" t="str">
        <f t="shared" si="17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/>
    </row>
    <row r="313" spans="1:29" outlineLevel="1" x14ac:dyDescent="0.3">
      <c r="A313" s="22" t="s">
        <v>84</v>
      </c>
      <c r="B313" s="41" t="str">
        <f t="shared" si="21"/>
        <v/>
      </c>
      <c r="C313" s="42">
        <f t="shared" si="22"/>
        <v>312</v>
      </c>
      <c r="D313" s="38"/>
      <c r="E313" s="38"/>
      <c r="F313" s="38"/>
      <c r="G313" s="38"/>
      <c r="H313" s="38"/>
      <c r="I313" s="38" t="s">
        <v>9</v>
      </c>
      <c r="J313" s="38"/>
      <c r="K313" s="159" t="s">
        <v>24</v>
      </c>
      <c r="L313" s="53" t="s">
        <v>27</v>
      </c>
      <c r="M313" s="229" t="s">
        <v>950</v>
      </c>
      <c r="N313" s="166" t="s">
        <v>946</v>
      </c>
      <c r="O313" s="166">
        <v>0.02</v>
      </c>
      <c r="P313" s="160" t="s">
        <v>264</v>
      </c>
      <c r="Q313" s="178" t="s">
        <v>9</v>
      </c>
      <c r="R313" s="171" t="s">
        <v>103</v>
      </c>
      <c r="S313" s="171" t="s">
        <v>112</v>
      </c>
      <c r="T313" s="166" t="s">
        <v>264</v>
      </c>
      <c r="U313" s="166" t="s">
        <v>264</v>
      </c>
      <c r="V313" s="166"/>
      <c r="W313" s="15"/>
      <c r="X313" s="160"/>
      <c r="Y313" s="166"/>
      <c r="Z313" s="59" t="str">
        <f>IF(OR($M313="",NOT($O313="{array}")),"",IFERROR(MATCH(PARAMETERS!$M313,DEFAULT!$B$5:$CI$5,0),""))</f>
        <v/>
      </c>
      <c r="AA313" s="56" t="str">
        <f t="shared" si="17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/>
    </row>
    <row r="314" spans="1:29" outlineLevel="1" x14ac:dyDescent="0.3">
      <c r="A314" s="22" t="s">
        <v>84</v>
      </c>
      <c r="B314" s="41" t="str">
        <f t="shared" si="21"/>
        <v/>
      </c>
      <c r="C314" s="42">
        <f t="shared" si="22"/>
        <v>313</v>
      </c>
      <c r="D314" s="38"/>
      <c r="E314" s="38"/>
      <c r="F314" s="38"/>
      <c r="G314" s="38"/>
      <c r="H314" s="38"/>
      <c r="I314" s="38" t="s">
        <v>9</v>
      </c>
      <c r="J314" s="38"/>
      <c r="K314" s="159" t="s">
        <v>24</v>
      </c>
      <c r="L314" s="53" t="s">
        <v>27</v>
      </c>
      <c r="M314" s="240" t="s">
        <v>988</v>
      </c>
      <c r="N314" s="159" t="s">
        <v>982</v>
      </c>
      <c r="O314" s="166">
        <v>0.35</v>
      </c>
      <c r="P314" s="160" t="s">
        <v>264</v>
      </c>
      <c r="Q314" s="178" t="s">
        <v>9</v>
      </c>
      <c r="R314" s="171" t="s">
        <v>103</v>
      </c>
      <c r="S314" s="171" t="s">
        <v>112</v>
      </c>
      <c r="T314" s="166" t="s">
        <v>264</v>
      </c>
      <c r="U314" s="166" t="s">
        <v>264</v>
      </c>
      <c r="X314" s="14"/>
      <c r="Z314" s="59" t="str">
        <f>IF(OR($M314="",NOT($O314="{array}")),"",IFERROR(MATCH(PARAMETERS!$M314,DEFAULT!$B$5:$CI$5,0),""))</f>
        <v/>
      </c>
      <c r="AA314" s="56" t="str">
        <f t="shared" si="17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/>
    </row>
    <row r="315" spans="1:29" outlineLevel="1" x14ac:dyDescent="0.3">
      <c r="A315" s="22" t="s">
        <v>84</v>
      </c>
      <c r="B315" s="41" t="str">
        <f t="shared" si="21"/>
        <v/>
      </c>
      <c r="C315" s="42">
        <f t="shared" si="22"/>
        <v>314</v>
      </c>
      <c r="D315" s="38"/>
      <c r="E315" s="38"/>
      <c r="F315" s="38"/>
      <c r="G315" s="38"/>
      <c r="H315" s="38"/>
      <c r="I315" s="38" t="s">
        <v>9</v>
      </c>
      <c r="J315" s="38"/>
      <c r="K315" s="159" t="s">
        <v>24</v>
      </c>
      <c r="L315" s="53" t="s">
        <v>27</v>
      </c>
      <c r="M315" s="240" t="s">
        <v>989</v>
      </c>
      <c r="N315" s="159" t="s">
        <v>990</v>
      </c>
      <c r="O315" s="166">
        <v>0.35</v>
      </c>
      <c r="P315" s="160" t="s">
        <v>264</v>
      </c>
      <c r="Q315" s="178" t="s">
        <v>9</v>
      </c>
      <c r="R315" s="171" t="s">
        <v>103</v>
      </c>
      <c r="S315" s="171" t="s">
        <v>112</v>
      </c>
      <c r="T315" s="166" t="s">
        <v>264</v>
      </c>
      <c r="U315" s="166" t="s">
        <v>264</v>
      </c>
      <c r="X315" s="14"/>
      <c r="Z315" s="59" t="str">
        <f>IF(OR($M315="",NOT($O315="{array}")),"",IFERROR(MATCH(PARAMETERS!$M315,DEFAULT!$B$5:$CI$5,0),""))</f>
        <v/>
      </c>
      <c r="AA315" s="56" t="str">
        <f t="shared" si="17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/>
    </row>
    <row r="316" spans="1:29" outlineLevel="1" x14ac:dyDescent="0.3">
      <c r="A316" s="22" t="s">
        <v>84</v>
      </c>
      <c r="B316" s="41" t="str">
        <f t="shared" si="21"/>
        <v/>
      </c>
      <c r="C316" s="42">
        <f t="shared" si="22"/>
        <v>315</v>
      </c>
      <c r="D316" s="38"/>
      <c r="E316" s="38"/>
      <c r="F316" s="38"/>
      <c r="G316" s="38"/>
      <c r="H316" s="38"/>
      <c r="I316" s="38" t="s">
        <v>9</v>
      </c>
      <c r="J316" s="38"/>
      <c r="K316" s="159" t="s">
        <v>24</v>
      </c>
      <c r="L316" s="53" t="s">
        <v>27</v>
      </c>
      <c r="M316" s="229" t="s">
        <v>952</v>
      </c>
      <c r="N316" s="159" t="s">
        <v>953</v>
      </c>
      <c r="O316" s="166">
        <v>0.04</v>
      </c>
      <c r="P316" s="160" t="s">
        <v>264</v>
      </c>
      <c r="Q316" s="178" t="s">
        <v>9</v>
      </c>
      <c r="R316" s="171" t="s">
        <v>103</v>
      </c>
      <c r="S316" s="171" t="s">
        <v>112</v>
      </c>
      <c r="T316" s="166" t="s">
        <v>264</v>
      </c>
      <c r="U316" s="166" t="s">
        <v>264</v>
      </c>
      <c r="V316" s="166"/>
      <c r="W316" s="15"/>
      <c r="X316" s="160"/>
      <c r="Y316" s="166"/>
      <c r="Z316" s="59" t="str">
        <f>IF(OR($M316="",NOT($O316="{array}")),"",IFERROR(MATCH(PARAMETERS!$M316,DEFAULT!$B$5:$CI$5,0),""))</f>
        <v/>
      </c>
      <c r="AA316" s="56" t="str">
        <f t="shared" si="17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/>
    </row>
    <row r="317" spans="1:29" outlineLevel="1" x14ac:dyDescent="0.3">
      <c r="A317" s="22" t="s">
        <v>84</v>
      </c>
      <c r="B317" s="41" t="str">
        <f t="shared" si="21"/>
        <v/>
      </c>
      <c r="C317" s="42">
        <f t="shared" si="22"/>
        <v>316</v>
      </c>
      <c r="D317" s="38"/>
      <c r="E317" s="38"/>
      <c r="F317" s="38"/>
      <c r="G317" s="38"/>
      <c r="H317" s="38"/>
      <c r="I317" s="38" t="s">
        <v>9</v>
      </c>
      <c r="J317" s="38"/>
      <c r="K317" s="159" t="s">
        <v>44</v>
      </c>
      <c r="L317" s="53" t="s">
        <v>27</v>
      </c>
      <c r="M317" s="229" t="s">
        <v>954</v>
      </c>
      <c r="N317" s="166" t="s">
        <v>669</v>
      </c>
      <c r="O317" s="166">
        <v>0</v>
      </c>
      <c r="P317" s="160" t="s">
        <v>264</v>
      </c>
      <c r="Q317" s="178" t="s">
        <v>9</v>
      </c>
      <c r="R317" s="171" t="s">
        <v>103</v>
      </c>
      <c r="S317" s="171" t="s">
        <v>112</v>
      </c>
      <c r="T317" s="166" t="s">
        <v>264</v>
      </c>
      <c r="U317" s="166" t="s">
        <v>264</v>
      </c>
      <c r="V317" s="166" t="s">
        <v>669</v>
      </c>
      <c r="W317" s="15"/>
      <c r="X317" s="160" t="s">
        <v>264</v>
      </c>
      <c r="Y317" s="166" t="s">
        <v>670</v>
      </c>
      <c r="Z317" s="59" t="str">
        <f>IF(OR($M317="",NOT($O317="{array}")),"",IFERROR(MATCH(PARAMETERS!$M317,DEFAULT!$B$5:$CI$5,0),""))</f>
        <v/>
      </c>
      <c r="AA317" s="56" t="str">
        <f t="shared" si="17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/>
    </row>
    <row r="318" spans="1:29" outlineLevel="1" x14ac:dyDescent="0.3">
      <c r="A318" s="22" t="s">
        <v>84</v>
      </c>
      <c r="B318" s="41" t="str">
        <f t="shared" si="21"/>
        <v/>
      </c>
      <c r="C318" s="42">
        <f t="shared" si="22"/>
        <v>317</v>
      </c>
      <c r="D318" s="38"/>
      <c r="E318" s="38"/>
      <c r="F318" s="38"/>
      <c r="G318" s="38"/>
      <c r="H318" s="38"/>
      <c r="I318" s="38" t="s">
        <v>9</v>
      </c>
      <c r="J318" s="38"/>
      <c r="K318" s="159" t="s">
        <v>24</v>
      </c>
      <c r="L318" s="53" t="s">
        <v>27</v>
      </c>
      <c r="M318" s="229" t="s">
        <v>956</v>
      </c>
      <c r="N318" s="159" t="s">
        <v>955</v>
      </c>
      <c r="O318" s="166">
        <v>0.05</v>
      </c>
      <c r="P318" s="160" t="s">
        <v>264</v>
      </c>
      <c r="Q318" s="178" t="s">
        <v>9</v>
      </c>
      <c r="R318" s="171" t="s">
        <v>103</v>
      </c>
      <c r="S318" s="171" t="s">
        <v>112</v>
      </c>
      <c r="T318" s="166" t="s">
        <v>264</v>
      </c>
      <c r="U318" s="166" t="s">
        <v>264</v>
      </c>
      <c r="V318" s="14" t="s">
        <v>983</v>
      </c>
      <c r="X318" s="14"/>
      <c r="Z318" s="59" t="str">
        <f>IF(OR($M318="",NOT($O318="{array}")),"",IFERROR(MATCH(PARAMETERS!$M318,DEFAULT!$B$5:$CI$5,0),""))</f>
        <v/>
      </c>
      <c r="AA318" s="56" t="str">
        <f t="shared" si="17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/>
    </row>
    <row r="319" spans="1:29" outlineLevel="1" x14ac:dyDescent="0.3">
      <c r="A319" s="22" t="s">
        <v>84</v>
      </c>
      <c r="B319" s="41" t="str">
        <f t="shared" si="21"/>
        <v/>
      </c>
      <c r="C319" s="42">
        <f t="shared" si="22"/>
        <v>318</v>
      </c>
      <c r="D319" s="38"/>
      <c r="E319" s="38"/>
      <c r="F319" s="38"/>
      <c r="G319" s="38"/>
      <c r="H319" s="38"/>
      <c r="I319" s="38" t="s">
        <v>9</v>
      </c>
      <c r="J319" s="38"/>
      <c r="K319" s="159" t="s">
        <v>24</v>
      </c>
      <c r="L319" s="53" t="s">
        <v>27</v>
      </c>
      <c r="M319" s="229" t="s">
        <v>958</v>
      </c>
      <c r="N319" s="159" t="s">
        <v>957</v>
      </c>
      <c r="O319" s="166">
        <v>0.03</v>
      </c>
      <c r="P319" s="160" t="s">
        <v>264</v>
      </c>
      <c r="Q319" s="178" t="s">
        <v>9</v>
      </c>
      <c r="R319" s="171" t="s">
        <v>103</v>
      </c>
      <c r="S319" s="171" t="s">
        <v>112</v>
      </c>
      <c r="T319" s="166" t="s">
        <v>264</v>
      </c>
      <c r="U319" s="166" t="s">
        <v>264</v>
      </c>
      <c r="V319" s="14" t="s">
        <v>983</v>
      </c>
      <c r="W319" s="15"/>
      <c r="X319" s="160" t="s">
        <v>264</v>
      </c>
      <c r="Y319" s="166" t="s">
        <v>264</v>
      </c>
      <c r="Z319" s="59" t="str">
        <f>IF(OR($M319="",NOT($O319="{array}")),"",IFERROR(MATCH(PARAMETERS!$M319,DEFAULT!$B$5:$CI$5,0),""))</f>
        <v/>
      </c>
      <c r="AA319" s="56" t="str">
        <f t="shared" si="17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/>
    </row>
    <row r="320" spans="1:29" outlineLevel="1" x14ac:dyDescent="0.25">
      <c r="A320" s="22" t="s">
        <v>84</v>
      </c>
      <c r="B320" s="41" t="str">
        <f t="shared" si="21"/>
        <v/>
      </c>
      <c r="C320" s="42">
        <f t="shared" si="22"/>
        <v>319</v>
      </c>
      <c r="D320" s="38"/>
      <c r="E320" s="38"/>
      <c r="F320" s="38"/>
      <c r="G320" s="38"/>
      <c r="H320" s="38"/>
      <c r="I320" s="38" t="s">
        <v>9</v>
      </c>
      <c r="J320" s="38"/>
      <c r="K320" s="53" t="s">
        <v>24</v>
      </c>
      <c r="L320" s="53" t="s">
        <v>27</v>
      </c>
      <c r="M320" s="241" t="s">
        <v>672</v>
      </c>
      <c r="N320" s="53" t="s">
        <v>673</v>
      </c>
      <c r="O320" s="155">
        <v>0</v>
      </c>
      <c r="P320" s="53"/>
      <c r="Q320" s="171" t="s">
        <v>9</v>
      </c>
      <c r="R320" s="38" t="s">
        <v>195</v>
      </c>
      <c r="S320" s="38"/>
      <c r="T320" s="38"/>
      <c r="V320" s="166" t="s">
        <v>666</v>
      </c>
      <c r="W320" s="15"/>
      <c r="X320" s="160" t="s">
        <v>264</v>
      </c>
      <c r="Y320" s="166" t="s">
        <v>667</v>
      </c>
      <c r="Z320" s="59" t="str">
        <f>IF(OR($M320="",NOT($O320="{array}")),"",IFERROR(MATCH(PARAMETERS!$M320,DEFAULT!$B$5:$CI$5,0),""))</f>
        <v/>
      </c>
      <c r="AA320" s="56" t="str">
        <f t="shared" ref="AA320:AA321" si="23">IF($M320="","",IFERROR(MATCH($M320,VALUESnames,0),""))</f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/>
    </row>
    <row r="321" spans="1:29" outlineLevel="1" x14ac:dyDescent="0.25">
      <c r="A321" s="22" t="s">
        <v>84</v>
      </c>
      <c r="B321" s="41" t="str">
        <f t="shared" si="21"/>
        <v/>
      </c>
      <c r="C321" s="42">
        <f t="shared" si="22"/>
        <v>320</v>
      </c>
      <c r="D321" s="38"/>
      <c r="E321" s="38"/>
      <c r="F321" s="38"/>
      <c r="G321" s="38"/>
      <c r="H321" s="38"/>
      <c r="I321" s="38" t="s">
        <v>9</v>
      </c>
      <c r="J321" s="38"/>
      <c r="K321" s="53" t="s">
        <v>24</v>
      </c>
      <c r="L321" s="53" t="s">
        <v>27</v>
      </c>
      <c r="M321" s="241" t="s">
        <v>674</v>
      </c>
      <c r="N321" s="53" t="s">
        <v>675</v>
      </c>
      <c r="O321" s="155">
        <v>1.7999999999999999E-2</v>
      </c>
      <c r="P321" s="53"/>
      <c r="Q321" s="171" t="s">
        <v>9</v>
      </c>
      <c r="R321" s="38" t="s">
        <v>195</v>
      </c>
      <c r="S321" s="38"/>
      <c r="T321" s="38"/>
      <c r="V321" s="166" t="s">
        <v>666</v>
      </c>
      <c r="W321" s="15"/>
      <c r="X321" s="160" t="s">
        <v>264</v>
      </c>
      <c r="Y321" s="166" t="s">
        <v>667</v>
      </c>
      <c r="Z321" s="59" t="str">
        <f>IF(OR($M321="",NOT($O321="{array}")),"",IFERROR(MATCH(PARAMETERS!$M321,DEFAULT!$B$5:$CI$5,0),""))</f>
        <v/>
      </c>
      <c r="AA321" s="56" t="str">
        <f t="shared" si="23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/>
    </row>
    <row r="322" spans="1:29" outlineLevel="1" x14ac:dyDescent="0.25">
      <c r="A322" s="22" t="s">
        <v>84</v>
      </c>
      <c r="B322" s="41" t="str">
        <f t="shared" si="21"/>
        <v>A</v>
      </c>
      <c r="C322" s="238">
        <f t="shared" si="22"/>
        <v>321</v>
      </c>
      <c r="D322" s="230"/>
      <c r="E322" s="230"/>
      <c r="F322" s="230"/>
      <c r="G322" s="230"/>
      <c r="H322" s="230"/>
      <c r="I322" s="230" t="s">
        <v>9</v>
      </c>
      <c r="J322" s="230"/>
      <c r="K322" s="231" t="s">
        <v>24</v>
      </c>
      <c r="L322" s="231" t="s">
        <v>27</v>
      </c>
      <c r="M322" s="239" t="s">
        <v>984</v>
      </c>
      <c r="N322" s="231" t="s">
        <v>985</v>
      </c>
      <c r="O322" s="232" t="s">
        <v>33</v>
      </c>
      <c r="P322" s="231"/>
      <c r="Q322" s="233"/>
      <c r="R322" s="230" t="s">
        <v>195</v>
      </c>
      <c r="S322" s="230"/>
      <c r="T322" s="230"/>
      <c r="U322" s="234"/>
      <c r="V322" s="235"/>
      <c r="W322" s="236"/>
      <c r="X322" s="237" t="s">
        <v>264</v>
      </c>
      <c r="Y322" s="235"/>
      <c r="Z322" s="59">
        <f>IF(OR($M322="",NOT($O322="{array}")),"",IFERROR(MATCH(PARAMETERS!$M322,DEFAULT!$B$5:$CI$5,0),""))</f>
        <v>5</v>
      </c>
      <c r="AA322" s="56" t="str">
        <f t="shared" ref="AA322:AA383" si="24">IF($M322="","",IFERROR(MATCH($M322,VALUESnames,0),""))</f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IF($AA322="","",IF($B322="I",VLOOKUP($AA322,#REF!,53,0),INDEX(VALUES!$B$1:$BF$1,1,$AA322)))</f>
        <v/>
      </c>
    </row>
    <row r="323" spans="1:29" x14ac:dyDescent="0.3">
      <c r="A323" s="22" t="s">
        <v>84</v>
      </c>
      <c r="B323" s="41" t="str">
        <f t="shared" si="21"/>
        <v/>
      </c>
      <c r="C323" s="42">
        <f t="shared" ref="C323:C352" si="25">(ROW()-1)</f>
        <v>322</v>
      </c>
      <c r="D323" s="38"/>
      <c r="E323" s="38"/>
      <c r="F323" s="38"/>
      <c r="G323" s="38"/>
      <c r="H323" s="38"/>
      <c r="I323" s="38"/>
      <c r="J323" s="38"/>
      <c r="K323" s="14" t="s">
        <v>57</v>
      </c>
      <c r="L323" s="14" t="s">
        <v>38</v>
      </c>
      <c r="M323" s="48" t="s">
        <v>676</v>
      </c>
      <c r="N323" s="41" t="s">
        <v>677</v>
      </c>
      <c r="R323" s="38" t="s">
        <v>103</v>
      </c>
      <c r="S323" s="38"/>
      <c r="T323" s="38"/>
      <c r="W323" s="15"/>
      <c r="Z323" s="59" t="str">
        <f>IF(OR($M323="",NOT($O323="{array}")),"",IFERROR(MATCH(PARAMETERS!$M323,DEFAULT!$B$5:$CI$5,0),""))</f>
        <v/>
      </c>
      <c r="AA323" s="56" t="str">
        <f t="shared" si="24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IF($AA323="","",IF($B323="I",VLOOKUP($AA323,#REF!,53,0),INDEX(VALUES!$B$1:$BF$1,1,$AA323)))</f>
        <v/>
      </c>
    </row>
    <row r="324" spans="1:29" outlineLevel="1" x14ac:dyDescent="0.25">
      <c r="A324" s="22" t="s">
        <v>84</v>
      </c>
      <c r="B324" s="41" t="str">
        <f t="shared" si="21"/>
        <v/>
      </c>
      <c r="C324" s="42">
        <f t="shared" si="25"/>
        <v>323</v>
      </c>
      <c r="D324" s="38"/>
      <c r="E324" s="38"/>
      <c r="F324" s="38"/>
      <c r="G324" s="38"/>
      <c r="H324" s="38"/>
      <c r="I324" s="38" t="s">
        <v>9</v>
      </c>
      <c r="J324" s="38"/>
      <c r="K324" s="53" t="s">
        <v>18</v>
      </c>
      <c r="L324" s="53" t="s">
        <v>32</v>
      </c>
      <c r="M324" s="53" t="s">
        <v>678</v>
      </c>
      <c r="N324" s="53" t="s">
        <v>679</v>
      </c>
      <c r="O324" s="155" t="s">
        <v>458</v>
      </c>
      <c r="Q324" s="171"/>
      <c r="R324" s="171" t="s">
        <v>103</v>
      </c>
      <c r="S324" s="171" t="s">
        <v>112</v>
      </c>
      <c r="T324" s="166" t="s">
        <v>264</v>
      </c>
      <c r="U324" s="166" t="s">
        <v>264</v>
      </c>
      <c r="V324" s="166" t="s">
        <v>680</v>
      </c>
      <c r="W324" s="15"/>
      <c r="Z324" s="59" t="str">
        <f>IF(OR($M324="",NOT($O324="{array}")),"",IFERROR(MATCH(PARAMETERS!$M324,DEFAULT!$B$5:$CI$5,0),""))</f>
        <v/>
      </c>
      <c r="AA324" s="56" t="str">
        <f t="shared" si="24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IF($AA324="","",IF($B324="I",VLOOKUP($AA324,#REF!,53,0),INDEX(VALUES!$B$1:$BF$1,1,$AA324)))</f>
        <v/>
      </c>
    </row>
    <row r="325" spans="1:29" outlineLevel="1" x14ac:dyDescent="0.25">
      <c r="A325" s="22"/>
      <c r="B325" s="41" t="str">
        <f t="shared" si="21"/>
        <v/>
      </c>
      <c r="C325" s="42">
        <f t="shared" si="25"/>
        <v>324</v>
      </c>
      <c r="D325" s="38"/>
      <c r="E325" s="38"/>
      <c r="F325" s="38"/>
      <c r="G325" s="38"/>
      <c r="H325" s="38"/>
      <c r="I325" s="38" t="s">
        <v>9</v>
      </c>
      <c r="J325" s="38"/>
      <c r="K325" s="166" t="s">
        <v>18</v>
      </c>
      <c r="L325" s="167" t="s">
        <v>21</v>
      </c>
      <c r="M325" s="166" t="s">
        <v>681</v>
      </c>
      <c r="N325" s="166" t="s">
        <v>264</v>
      </c>
      <c r="O325" s="166" t="s">
        <v>264</v>
      </c>
      <c r="P325" s="160" t="s">
        <v>264</v>
      </c>
      <c r="Q325" s="171" t="s">
        <v>9</v>
      </c>
      <c r="R325" s="171" t="s">
        <v>103</v>
      </c>
      <c r="S325" s="171" t="s">
        <v>112</v>
      </c>
      <c r="T325" s="166" t="s">
        <v>264</v>
      </c>
      <c r="U325" s="166" t="s">
        <v>264</v>
      </c>
      <c r="V325" s="166" t="s">
        <v>681</v>
      </c>
      <c r="W325" s="15"/>
      <c r="X325" s="160" t="s">
        <v>264</v>
      </c>
      <c r="Y325" s="166" t="s">
        <v>682</v>
      </c>
      <c r="Z325" s="59" t="str">
        <f>IF(OR($M325="",NOT($O325="{array}")),"",IFERROR(MATCH(PARAMETERS!$M325,DEFAULT!$B$5:$CI$5,0),""))</f>
        <v/>
      </c>
      <c r="AA325" s="56" t="str">
        <f t="shared" si="24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IF($AA325="","",IF($B325="I",VLOOKUP($AA325,#REF!,53,0),INDEX(VALUES!$B$1:$BF$1,1,$AA325)))</f>
        <v/>
      </c>
    </row>
    <row r="326" spans="1:29" outlineLevel="1" x14ac:dyDescent="0.25">
      <c r="A326" s="22"/>
      <c r="B326" s="41" t="str">
        <f t="shared" si="21"/>
        <v/>
      </c>
      <c r="C326" s="42">
        <f t="shared" si="25"/>
        <v>325</v>
      </c>
      <c r="D326" s="38"/>
      <c r="E326" s="38"/>
      <c r="F326" s="38"/>
      <c r="G326" s="38"/>
      <c r="H326" s="38"/>
      <c r="I326" s="38" t="s">
        <v>9</v>
      </c>
      <c r="J326" s="38"/>
      <c r="K326" s="166" t="s">
        <v>18</v>
      </c>
      <c r="L326" s="167" t="s">
        <v>21</v>
      </c>
      <c r="M326" s="166" t="s">
        <v>683</v>
      </c>
      <c r="N326" s="166" t="s">
        <v>264</v>
      </c>
      <c r="O326" s="166" t="s">
        <v>264</v>
      </c>
      <c r="P326" s="160" t="s">
        <v>264</v>
      </c>
      <c r="Q326" s="171" t="s">
        <v>9</v>
      </c>
      <c r="R326" s="171" t="s">
        <v>103</v>
      </c>
      <c r="S326" s="171" t="s">
        <v>112</v>
      </c>
      <c r="T326" s="166" t="s">
        <v>264</v>
      </c>
      <c r="U326" s="166" t="s">
        <v>264</v>
      </c>
      <c r="V326" s="166" t="s">
        <v>683</v>
      </c>
      <c r="W326" s="15"/>
      <c r="X326" s="160" t="s">
        <v>264</v>
      </c>
      <c r="Y326" s="166" t="s">
        <v>684</v>
      </c>
      <c r="Z326" s="59" t="str">
        <f>IF(OR($M326="",NOT($O326="{array}")),"",IFERROR(MATCH(PARAMETERS!$M326,DEFAULT!$B$5:$CI$5,0),""))</f>
        <v/>
      </c>
      <c r="AA326" s="56" t="str">
        <f t="shared" si="24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IF($AA326="","",IF($B326="I",VLOOKUP($AA326,#REF!,53,0),INDEX(VALUES!$B$1:$BF$1,1,$AA326)))</f>
        <v/>
      </c>
    </row>
    <row r="327" spans="1:29" outlineLevel="1" x14ac:dyDescent="0.25">
      <c r="A327" s="22"/>
      <c r="B327" s="41" t="str">
        <f t="shared" si="21"/>
        <v/>
      </c>
      <c r="C327" s="42">
        <f t="shared" si="25"/>
        <v>326</v>
      </c>
      <c r="D327" s="38"/>
      <c r="E327" s="38"/>
      <c r="F327" s="38"/>
      <c r="G327" s="38"/>
      <c r="H327" s="38"/>
      <c r="I327" s="38" t="s">
        <v>9</v>
      </c>
      <c r="J327" s="38"/>
      <c r="K327" s="166" t="s">
        <v>18</v>
      </c>
      <c r="L327" s="167" t="s">
        <v>21</v>
      </c>
      <c r="M327" s="166" t="s">
        <v>685</v>
      </c>
      <c r="N327" s="166" t="s">
        <v>264</v>
      </c>
      <c r="O327" s="166" t="s">
        <v>264</v>
      </c>
      <c r="P327" s="160" t="s">
        <v>264</v>
      </c>
      <c r="Q327" s="171" t="s">
        <v>9</v>
      </c>
      <c r="R327" s="171" t="s">
        <v>103</v>
      </c>
      <c r="S327" s="171" t="s">
        <v>112</v>
      </c>
      <c r="T327" s="166" t="s">
        <v>264</v>
      </c>
      <c r="U327" s="166" t="s">
        <v>264</v>
      </c>
      <c r="V327" s="166" t="s">
        <v>685</v>
      </c>
      <c r="W327" s="15"/>
      <c r="X327" s="160" t="s">
        <v>264</v>
      </c>
      <c r="Y327" s="166" t="s">
        <v>686</v>
      </c>
      <c r="Z327" s="59" t="str">
        <f>IF(OR($M327="",NOT($O327="{array}")),"",IFERROR(MATCH(PARAMETERS!$M327,DEFAULT!$B$5:$CI$5,0),""))</f>
        <v/>
      </c>
      <c r="AA327" s="56" t="str">
        <f t="shared" si="24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IF($AA327="","",IF($B327="I",VLOOKUP($AA327,#REF!,53,0),INDEX(VALUES!$B$1:$BF$1,1,$AA327)))</f>
        <v/>
      </c>
    </row>
    <row r="328" spans="1:29" outlineLevel="1" x14ac:dyDescent="0.25">
      <c r="A328" s="22"/>
      <c r="B328" s="41" t="str">
        <f t="shared" si="21"/>
        <v/>
      </c>
      <c r="C328" s="42">
        <f t="shared" si="25"/>
        <v>327</v>
      </c>
      <c r="D328" s="38"/>
      <c r="E328" s="38"/>
      <c r="F328" s="38"/>
      <c r="G328" s="38"/>
      <c r="H328" s="38"/>
      <c r="I328" s="38" t="s">
        <v>9</v>
      </c>
      <c r="J328" s="38"/>
      <c r="K328" s="166" t="s">
        <v>18</v>
      </c>
      <c r="L328" s="167" t="s">
        <v>21</v>
      </c>
      <c r="M328" s="166" t="s">
        <v>687</v>
      </c>
      <c r="N328" s="166" t="s">
        <v>264</v>
      </c>
      <c r="O328" s="166" t="s">
        <v>264</v>
      </c>
      <c r="P328" s="160" t="s">
        <v>264</v>
      </c>
      <c r="Q328" s="171" t="s">
        <v>9</v>
      </c>
      <c r="R328" s="171" t="s">
        <v>103</v>
      </c>
      <c r="S328" s="171" t="s">
        <v>112</v>
      </c>
      <c r="T328" s="166" t="s">
        <v>264</v>
      </c>
      <c r="U328" s="166" t="s">
        <v>264</v>
      </c>
      <c r="V328" s="166" t="s">
        <v>687</v>
      </c>
      <c r="W328" s="15"/>
      <c r="X328" s="160" t="s">
        <v>264</v>
      </c>
      <c r="Y328" s="166" t="s">
        <v>688</v>
      </c>
      <c r="Z328" s="59" t="str">
        <f>IF(OR($M328="",NOT($O328="{array}")),"",IFERROR(MATCH(PARAMETERS!$M328,DEFAULT!$B$5:$CI$5,0),""))</f>
        <v/>
      </c>
      <c r="AA328" s="56" t="str">
        <f t="shared" si="24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IF($AA328="","",IF($B328="I",VLOOKUP($AA328,#REF!,53,0),INDEX(VALUES!$B$1:$BF$1,1,$AA328)))</f>
        <v/>
      </c>
    </row>
    <row r="329" spans="1:29" outlineLevel="1" x14ac:dyDescent="0.25">
      <c r="A329" s="22"/>
      <c r="B329" s="41" t="str">
        <f t="shared" si="21"/>
        <v/>
      </c>
      <c r="C329" s="42">
        <f t="shared" si="25"/>
        <v>328</v>
      </c>
      <c r="D329" s="38"/>
      <c r="E329" s="38"/>
      <c r="F329" s="38"/>
      <c r="G329" s="38"/>
      <c r="H329" s="38"/>
      <c r="I329" s="38" t="s">
        <v>9</v>
      </c>
      <c r="J329" s="38"/>
      <c r="K329" s="166" t="s">
        <v>36</v>
      </c>
      <c r="L329" s="167" t="s">
        <v>21</v>
      </c>
      <c r="M329" s="166" t="s">
        <v>689</v>
      </c>
      <c r="N329" s="166" t="s">
        <v>264</v>
      </c>
      <c r="O329" s="166" t="s">
        <v>264</v>
      </c>
      <c r="P329" s="160" t="s">
        <v>126</v>
      </c>
      <c r="Q329" s="171" t="s">
        <v>9</v>
      </c>
      <c r="R329" s="171" t="s">
        <v>103</v>
      </c>
      <c r="S329" s="171" t="s">
        <v>112</v>
      </c>
      <c r="T329" s="166" t="s">
        <v>264</v>
      </c>
      <c r="U329" s="166" t="s">
        <v>264</v>
      </c>
      <c r="V329" s="166" t="s">
        <v>689</v>
      </c>
      <c r="W329" s="15"/>
      <c r="X329" s="160" t="s">
        <v>264</v>
      </c>
      <c r="Y329" s="166" t="s">
        <v>690</v>
      </c>
      <c r="Z329" s="59" t="str">
        <f>IF(OR($M329="",NOT($O329="{array}")),"",IFERROR(MATCH(PARAMETERS!$M329,DEFAULT!$B$5:$CI$5,0),""))</f>
        <v/>
      </c>
      <c r="AA329" s="56" t="str">
        <f t="shared" si="24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IF($AA329="","",IF($B329="I",VLOOKUP($AA329,#REF!,53,0),INDEX(VALUES!$B$1:$BF$1,1,$AA329)))</f>
        <v/>
      </c>
    </row>
    <row r="330" spans="1:29" outlineLevel="1" x14ac:dyDescent="0.25">
      <c r="A330" s="22"/>
      <c r="B330" s="41" t="str">
        <f t="shared" si="21"/>
        <v/>
      </c>
      <c r="C330" s="42">
        <f t="shared" si="25"/>
        <v>329</v>
      </c>
      <c r="D330" s="38"/>
      <c r="E330" s="38"/>
      <c r="F330" s="38"/>
      <c r="G330" s="38"/>
      <c r="H330" s="38"/>
      <c r="I330" s="38" t="s">
        <v>9</v>
      </c>
      <c r="J330" s="38"/>
      <c r="K330" s="166" t="s">
        <v>36</v>
      </c>
      <c r="L330" s="167" t="s">
        <v>21</v>
      </c>
      <c r="M330" s="166" t="s">
        <v>691</v>
      </c>
      <c r="N330" s="166" t="s">
        <v>264</v>
      </c>
      <c r="O330" s="166" t="s">
        <v>264</v>
      </c>
      <c r="P330" s="160" t="s">
        <v>126</v>
      </c>
      <c r="Q330" s="171" t="s">
        <v>9</v>
      </c>
      <c r="R330" s="171" t="s">
        <v>103</v>
      </c>
      <c r="S330" s="171" t="s">
        <v>112</v>
      </c>
      <c r="T330" s="166" t="s">
        <v>264</v>
      </c>
      <c r="U330" s="166" t="s">
        <v>264</v>
      </c>
      <c r="V330" s="166" t="s">
        <v>691</v>
      </c>
      <c r="W330" s="15"/>
      <c r="X330" s="160" t="s">
        <v>264</v>
      </c>
      <c r="Y330" s="166" t="s">
        <v>692</v>
      </c>
      <c r="Z330" s="59" t="str">
        <f>IF(OR($M330="",NOT($O330="{array}")),"",IFERROR(MATCH(PARAMETERS!$M330,DEFAULT!$B$5:$CI$5,0),""))</f>
        <v/>
      </c>
      <c r="AA330" s="56" t="str">
        <f t="shared" si="24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IF($AA330="","",IF($B330="I",VLOOKUP($AA330,#REF!,53,0),INDEX(VALUES!$B$1:$BF$1,1,$AA330)))</f>
        <v/>
      </c>
    </row>
    <row r="331" spans="1:29" outlineLevel="1" x14ac:dyDescent="0.25">
      <c r="A331" s="22"/>
      <c r="B331" s="41" t="str">
        <f t="shared" si="21"/>
        <v/>
      </c>
      <c r="C331" s="42">
        <f t="shared" si="25"/>
        <v>330</v>
      </c>
      <c r="D331" s="38"/>
      <c r="E331" s="38"/>
      <c r="F331" s="38"/>
      <c r="G331" s="38"/>
      <c r="H331" s="38"/>
      <c r="I331" s="38" t="s">
        <v>9</v>
      </c>
      <c r="J331" s="38"/>
      <c r="K331" s="166" t="s">
        <v>47</v>
      </c>
      <c r="L331" s="167" t="s">
        <v>21</v>
      </c>
      <c r="M331" s="166" t="s">
        <v>693</v>
      </c>
      <c r="N331" s="166" t="s">
        <v>264</v>
      </c>
      <c r="O331" s="166" t="s">
        <v>264</v>
      </c>
      <c r="P331" s="160" t="s">
        <v>264</v>
      </c>
      <c r="Q331" s="171" t="s">
        <v>9</v>
      </c>
      <c r="R331" s="171" t="s">
        <v>103</v>
      </c>
      <c r="S331" s="171" t="s">
        <v>112</v>
      </c>
      <c r="T331" s="166" t="s">
        <v>264</v>
      </c>
      <c r="U331" s="166" t="s">
        <v>264</v>
      </c>
      <c r="V331" s="166" t="s">
        <v>693</v>
      </c>
      <c r="W331" s="15"/>
      <c r="X331" s="160" t="s">
        <v>264</v>
      </c>
      <c r="Y331" s="166" t="s">
        <v>694</v>
      </c>
      <c r="Z331" s="59" t="str">
        <f>IF(OR($M331="",NOT($O331="{array}")),"",IFERROR(MATCH(PARAMETERS!$M331,DEFAULT!$B$5:$CI$5,0),""))</f>
        <v/>
      </c>
      <c r="AA331" s="56" t="str">
        <f t="shared" si="24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IF($AA331="","",IF($B331="I",VLOOKUP($AA331,#REF!,53,0),INDEX(VALUES!$B$1:$BF$1,1,$AA331)))</f>
        <v/>
      </c>
    </row>
    <row r="332" spans="1:29" outlineLevel="1" x14ac:dyDescent="0.25">
      <c r="A332" s="22"/>
      <c r="B332" s="41" t="str">
        <f t="shared" si="21"/>
        <v/>
      </c>
      <c r="C332" s="42">
        <f t="shared" si="25"/>
        <v>331</v>
      </c>
      <c r="D332" s="38"/>
      <c r="E332" s="38"/>
      <c r="F332" s="38"/>
      <c r="G332" s="38"/>
      <c r="H332" s="38"/>
      <c r="I332" s="38" t="s">
        <v>9</v>
      </c>
      <c r="J332" s="38"/>
      <c r="K332" s="166" t="s">
        <v>18</v>
      </c>
      <c r="L332" s="167" t="s">
        <v>21</v>
      </c>
      <c r="M332" s="166" t="s">
        <v>695</v>
      </c>
      <c r="N332" s="166" t="s">
        <v>264</v>
      </c>
      <c r="O332" s="166" t="s">
        <v>264</v>
      </c>
      <c r="P332" s="160" t="s">
        <v>264</v>
      </c>
      <c r="Q332" s="171" t="s">
        <v>9</v>
      </c>
      <c r="R332" s="171" t="s">
        <v>103</v>
      </c>
      <c r="S332" s="171" t="s">
        <v>112</v>
      </c>
      <c r="T332" s="166" t="s">
        <v>264</v>
      </c>
      <c r="U332" s="166" t="s">
        <v>264</v>
      </c>
      <c r="V332" s="166" t="s">
        <v>695</v>
      </c>
      <c r="W332" s="15"/>
      <c r="X332" s="160" t="s">
        <v>264</v>
      </c>
      <c r="Y332" s="166" t="s">
        <v>696</v>
      </c>
      <c r="Z332" s="59" t="str">
        <f>IF(OR($M332="",NOT($O332="{array}")),"",IFERROR(MATCH(PARAMETERS!$M332,DEFAULT!$B$5:$CI$5,0),""))</f>
        <v/>
      </c>
      <c r="AA332" s="56" t="str">
        <f t="shared" si="24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IF($AA332="","",IF($B332="I",VLOOKUP($AA332,#REF!,53,0),INDEX(VALUES!$B$1:$BF$1,1,$AA332)))</f>
        <v/>
      </c>
    </row>
    <row r="333" spans="1:29" outlineLevel="1" x14ac:dyDescent="0.25">
      <c r="A333" s="22"/>
      <c r="B333" s="41" t="str">
        <f t="shared" si="21"/>
        <v/>
      </c>
      <c r="C333" s="42">
        <f t="shared" si="25"/>
        <v>332</v>
      </c>
      <c r="D333" s="38"/>
      <c r="E333" s="38"/>
      <c r="F333" s="38"/>
      <c r="G333" s="38"/>
      <c r="H333" s="38"/>
      <c r="I333" s="38" t="s">
        <v>9</v>
      </c>
      <c r="J333" s="38"/>
      <c r="K333" s="166" t="s">
        <v>18</v>
      </c>
      <c r="L333" s="167" t="s">
        <v>21</v>
      </c>
      <c r="M333" s="166" t="s">
        <v>697</v>
      </c>
      <c r="N333" s="166" t="s">
        <v>264</v>
      </c>
      <c r="O333" s="166" t="s">
        <v>264</v>
      </c>
      <c r="P333" s="160" t="s">
        <v>264</v>
      </c>
      <c r="Q333" s="171" t="s">
        <v>9</v>
      </c>
      <c r="R333" s="171" t="s">
        <v>103</v>
      </c>
      <c r="S333" s="171" t="s">
        <v>112</v>
      </c>
      <c r="T333" s="166" t="s">
        <v>264</v>
      </c>
      <c r="U333" s="166" t="s">
        <v>264</v>
      </c>
      <c r="V333" s="166" t="s">
        <v>697</v>
      </c>
      <c r="W333" s="15"/>
      <c r="X333" s="160" t="s">
        <v>264</v>
      </c>
      <c r="Y333" s="166" t="s">
        <v>698</v>
      </c>
      <c r="Z333" s="59" t="str">
        <f>IF(OR($M333="",NOT($O333="{array}")),"",IFERROR(MATCH(PARAMETERS!$M333,DEFAULT!$B$5:$CI$5,0),""))</f>
        <v/>
      </c>
      <c r="AA333" s="56" t="str">
        <f t="shared" si="24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IF($AA333="","",IF($B333="I",VLOOKUP($AA333,#REF!,53,0),INDEX(VALUES!$B$1:$BF$1,1,$AA333)))</f>
        <v/>
      </c>
    </row>
    <row r="334" spans="1:29" outlineLevel="1" x14ac:dyDescent="0.25">
      <c r="A334" s="22"/>
      <c r="B334" s="41" t="str">
        <f t="shared" si="21"/>
        <v/>
      </c>
      <c r="C334" s="42">
        <f t="shared" si="25"/>
        <v>333</v>
      </c>
      <c r="D334" s="38"/>
      <c r="E334" s="38"/>
      <c r="F334" s="38"/>
      <c r="G334" s="38"/>
      <c r="H334" s="38"/>
      <c r="I334" s="38" t="s">
        <v>9</v>
      </c>
      <c r="J334" s="38"/>
      <c r="K334" s="166" t="s">
        <v>18</v>
      </c>
      <c r="L334" s="167" t="s">
        <v>21</v>
      </c>
      <c r="M334" s="166" t="s">
        <v>699</v>
      </c>
      <c r="N334" s="166" t="s">
        <v>264</v>
      </c>
      <c r="O334" s="166" t="s">
        <v>264</v>
      </c>
      <c r="P334" s="160" t="s">
        <v>264</v>
      </c>
      <c r="Q334" s="171" t="s">
        <v>9</v>
      </c>
      <c r="R334" s="171" t="s">
        <v>103</v>
      </c>
      <c r="S334" s="171" t="s">
        <v>112</v>
      </c>
      <c r="T334" s="166" t="s">
        <v>264</v>
      </c>
      <c r="U334" s="166" t="s">
        <v>264</v>
      </c>
      <c r="V334" s="166" t="s">
        <v>699</v>
      </c>
      <c r="W334" s="15"/>
      <c r="X334" s="160" t="s">
        <v>264</v>
      </c>
      <c r="Y334" s="166" t="s">
        <v>700</v>
      </c>
      <c r="Z334" s="59" t="str">
        <f>IF(OR($M334="",NOT($O334="{array}")),"",IFERROR(MATCH(PARAMETERS!$M334,DEFAULT!$B$5:$CI$5,0),""))</f>
        <v/>
      </c>
      <c r="AA334" s="56" t="str">
        <f t="shared" si="24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IF($AA334="","",IF($B334="I",VLOOKUP($AA334,#REF!,53,0),INDEX(VALUES!$B$1:$BF$1,1,$AA334)))</f>
        <v/>
      </c>
    </row>
    <row r="335" spans="1:29" outlineLevel="1" x14ac:dyDescent="0.25">
      <c r="A335" s="22"/>
      <c r="B335" s="41" t="str">
        <f t="shared" si="21"/>
        <v/>
      </c>
      <c r="C335" s="42">
        <f t="shared" si="25"/>
        <v>334</v>
      </c>
      <c r="D335" s="38"/>
      <c r="E335" s="38"/>
      <c r="F335" s="38"/>
      <c r="G335" s="38"/>
      <c r="H335" s="38"/>
      <c r="I335" s="38" t="s">
        <v>9</v>
      </c>
      <c r="J335" s="38"/>
      <c r="K335" s="166" t="s">
        <v>18</v>
      </c>
      <c r="L335" s="167" t="s">
        <v>21</v>
      </c>
      <c r="M335" s="166" t="s">
        <v>701</v>
      </c>
      <c r="N335" s="166" t="s">
        <v>264</v>
      </c>
      <c r="O335" s="166" t="s">
        <v>264</v>
      </c>
      <c r="P335" s="160" t="s">
        <v>264</v>
      </c>
      <c r="Q335" s="171" t="s">
        <v>9</v>
      </c>
      <c r="R335" s="171" t="s">
        <v>103</v>
      </c>
      <c r="S335" s="171" t="s">
        <v>112</v>
      </c>
      <c r="T335" s="166" t="s">
        <v>264</v>
      </c>
      <c r="U335" s="166" t="s">
        <v>264</v>
      </c>
      <c r="V335" s="166" t="s">
        <v>701</v>
      </c>
      <c r="W335" s="15"/>
      <c r="X335" s="160" t="s">
        <v>264</v>
      </c>
      <c r="Y335" s="166" t="s">
        <v>702</v>
      </c>
      <c r="Z335" s="59" t="str">
        <f>IF(OR($M335="",NOT($O335="{array}")),"",IFERROR(MATCH(PARAMETERS!$M335,DEFAULT!$B$5:$CI$5,0),""))</f>
        <v/>
      </c>
      <c r="AA335" s="56" t="str">
        <f t="shared" si="24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IF($AA335="","",IF($B335="I",VLOOKUP($AA335,#REF!,53,0),INDEX(VALUES!$B$1:$BF$1,1,$AA335)))</f>
        <v/>
      </c>
    </row>
    <row r="336" spans="1:29" outlineLevel="1" x14ac:dyDescent="0.25">
      <c r="A336" s="22"/>
      <c r="B336" s="41" t="str">
        <f t="shared" si="21"/>
        <v/>
      </c>
      <c r="C336" s="42">
        <f t="shared" si="25"/>
        <v>335</v>
      </c>
      <c r="D336" s="38"/>
      <c r="E336" s="38"/>
      <c r="F336" s="38"/>
      <c r="G336" s="38"/>
      <c r="H336" s="38"/>
      <c r="I336" s="38" t="s">
        <v>9</v>
      </c>
      <c r="J336" s="38"/>
      <c r="K336" s="166" t="s">
        <v>18</v>
      </c>
      <c r="L336" s="167" t="s">
        <v>21</v>
      </c>
      <c r="M336" s="166" t="s">
        <v>703</v>
      </c>
      <c r="N336" s="166" t="s">
        <v>264</v>
      </c>
      <c r="O336" s="166" t="s">
        <v>264</v>
      </c>
      <c r="P336" s="160" t="s">
        <v>264</v>
      </c>
      <c r="Q336" s="171" t="s">
        <v>9</v>
      </c>
      <c r="R336" s="171" t="s">
        <v>103</v>
      </c>
      <c r="S336" s="171" t="s">
        <v>112</v>
      </c>
      <c r="T336" s="166" t="s">
        <v>264</v>
      </c>
      <c r="U336" s="166" t="s">
        <v>264</v>
      </c>
      <c r="V336" s="166" t="s">
        <v>703</v>
      </c>
      <c r="W336" s="15"/>
      <c r="X336" s="160" t="s">
        <v>264</v>
      </c>
      <c r="Y336" s="166" t="s">
        <v>704</v>
      </c>
      <c r="Z336" s="59" t="str">
        <f>IF(OR($M336="",NOT($O336="{array}")),"",IFERROR(MATCH(PARAMETERS!$M336,DEFAULT!$B$5:$CI$5,0),""))</f>
        <v/>
      </c>
      <c r="AA336" s="56" t="str">
        <f t="shared" si="24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IF($AA336="","",IF($B336="I",VLOOKUP($AA336,#REF!,53,0),INDEX(VALUES!$B$1:$BF$1,1,$AA336)))</f>
        <v/>
      </c>
    </row>
    <row r="337" spans="1:29" outlineLevel="1" x14ac:dyDescent="0.25">
      <c r="A337" s="22"/>
      <c r="B337" s="41" t="str">
        <f t="shared" si="21"/>
        <v/>
      </c>
      <c r="C337" s="42">
        <f t="shared" si="25"/>
        <v>336</v>
      </c>
      <c r="D337" s="38"/>
      <c r="E337" s="38"/>
      <c r="F337" s="38"/>
      <c r="G337" s="38"/>
      <c r="H337" s="38"/>
      <c r="I337" s="38" t="s">
        <v>9</v>
      </c>
      <c r="J337" s="38"/>
      <c r="K337" s="166" t="s">
        <v>18</v>
      </c>
      <c r="L337" s="167" t="s">
        <v>21</v>
      </c>
      <c r="M337" s="166" t="s">
        <v>705</v>
      </c>
      <c r="N337" s="166" t="s">
        <v>264</v>
      </c>
      <c r="O337" s="166" t="s">
        <v>264</v>
      </c>
      <c r="P337" s="160" t="s">
        <v>264</v>
      </c>
      <c r="Q337" s="171" t="s">
        <v>9</v>
      </c>
      <c r="R337" s="171" t="s">
        <v>103</v>
      </c>
      <c r="S337" s="171" t="s">
        <v>112</v>
      </c>
      <c r="T337" s="166" t="s">
        <v>264</v>
      </c>
      <c r="U337" s="166" t="s">
        <v>264</v>
      </c>
      <c r="V337" s="166" t="s">
        <v>705</v>
      </c>
      <c r="W337" s="15"/>
      <c r="X337" s="160" t="s">
        <v>264</v>
      </c>
      <c r="Y337" s="166" t="s">
        <v>706</v>
      </c>
      <c r="Z337" s="59" t="str">
        <f>IF(OR($M337="",NOT($O337="{array}")),"",IFERROR(MATCH(PARAMETERS!$M337,DEFAULT!$B$5:$CI$5,0),""))</f>
        <v/>
      </c>
      <c r="AA337" s="56" t="str">
        <f t="shared" si="24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IF($AA337="","",IF($B337="I",VLOOKUP($AA337,#REF!,53,0),INDEX(VALUES!$B$1:$BF$1,1,$AA337)))</f>
        <v/>
      </c>
    </row>
    <row r="338" spans="1:29" outlineLevel="1" x14ac:dyDescent="0.25">
      <c r="A338" s="22"/>
      <c r="B338" s="41" t="str">
        <f t="shared" si="21"/>
        <v/>
      </c>
      <c r="C338" s="42">
        <f t="shared" si="25"/>
        <v>337</v>
      </c>
      <c r="D338" s="38"/>
      <c r="E338" s="38"/>
      <c r="F338" s="38"/>
      <c r="G338" s="38"/>
      <c r="H338" s="38"/>
      <c r="I338" s="38" t="s">
        <v>9</v>
      </c>
      <c r="J338" s="38"/>
      <c r="K338" s="166" t="s">
        <v>18</v>
      </c>
      <c r="L338" s="167" t="s">
        <v>21</v>
      </c>
      <c r="M338" s="166" t="s">
        <v>707</v>
      </c>
      <c r="N338" s="166" t="s">
        <v>264</v>
      </c>
      <c r="O338" s="166" t="s">
        <v>264</v>
      </c>
      <c r="P338" s="160" t="s">
        <v>264</v>
      </c>
      <c r="Q338" s="171" t="s">
        <v>9</v>
      </c>
      <c r="R338" s="171" t="s">
        <v>103</v>
      </c>
      <c r="S338" s="171" t="s">
        <v>112</v>
      </c>
      <c r="T338" s="166" t="s">
        <v>264</v>
      </c>
      <c r="U338" s="166" t="s">
        <v>264</v>
      </c>
      <c r="V338" s="166" t="s">
        <v>707</v>
      </c>
      <c r="W338" s="15"/>
      <c r="X338" s="160" t="s">
        <v>264</v>
      </c>
      <c r="Y338" s="166" t="s">
        <v>708</v>
      </c>
      <c r="Z338" s="59" t="str">
        <f>IF(OR($M338="",NOT($O338="{array}")),"",IFERROR(MATCH(PARAMETERS!$M338,DEFAULT!$B$5:$CI$5,0),""))</f>
        <v/>
      </c>
      <c r="AA338" s="56" t="str">
        <f t="shared" si="24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IF($AA338="","",IF($B338="I",VLOOKUP($AA338,#REF!,53,0),INDEX(VALUES!$B$1:$BF$1,1,$AA338)))</f>
        <v/>
      </c>
    </row>
    <row r="339" spans="1:29" outlineLevel="1" x14ac:dyDescent="0.25">
      <c r="A339" s="22"/>
      <c r="B339" s="41" t="str">
        <f t="shared" si="21"/>
        <v/>
      </c>
      <c r="C339" s="42">
        <f t="shared" si="25"/>
        <v>338</v>
      </c>
      <c r="D339" s="38"/>
      <c r="E339" s="38"/>
      <c r="F339" s="38"/>
      <c r="G339" s="38"/>
      <c r="H339" s="38"/>
      <c r="I339" s="38" t="s">
        <v>9</v>
      </c>
      <c r="J339" s="38"/>
      <c r="K339" s="166" t="s">
        <v>18</v>
      </c>
      <c r="L339" s="167" t="s">
        <v>21</v>
      </c>
      <c r="M339" s="166" t="s">
        <v>709</v>
      </c>
      <c r="N339" s="166" t="s">
        <v>264</v>
      </c>
      <c r="O339" s="166" t="s">
        <v>264</v>
      </c>
      <c r="P339" s="160" t="s">
        <v>264</v>
      </c>
      <c r="Q339" s="171" t="s">
        <v>9</v>
      </c>
      <c r="R339" s="171" t="s">
        <v>103</v>
      </c>
      <c r="S339" s="171" t="s">
        <v>112</v>
      </c>
      <c r="T339" s="166" t="s">
        <v>264</v>
      </c>
      <c r="U339" s="166" t="s">
        <v>264</v>
      </c>
      <c r="V339" s="166" t="s">
        <v>709</v>
      </c>
      <c r="W339" s="15"/>
      <c r="X339" s="160" t="s">
        <v>264</v>
      </c>
      <c r="Y339" s="166" t="s">
        <v>710</v>
      </c>
      <c r="Z339" s="59" t="str">
        <f>IF(OR($M339="",NOT($O339="{array}")),"",IFERROR(MATCH(PARAMETERS!$M339,DEFAULT!$B$5:$CI$5,0),""))</f>
        <v/>
      </c>
      <c r="AA339" s="56" t="str">
        <f t="shared" si="24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IF($AA339="","",IF($B339="I",VLOOKUP($AA339,#REF!,53,0),INDEX(VALUES!$B$1:$BF$1,1,$AA339)))</f>
        <v/>
      </c>
    </row>
    <row r="340" spans="1:29" outlineLevel="1" x14ac:dyDescent="0.25">
      <c r="A340" s="22"/>
      <c r="B340" s="41" t="str">
        <f t="shared" si="21"/>
        <v/>
      </c>
      <c r="C340" s="42">
        <f t="shared" si="25"/>
        <v>339</v>
      </c>
      <c r="D340" s="38"/>
      <c r="E340" s="38"/>
      <c r="F340" s="38"/>
      <c r="G340" s="38"/>
      <c r="H340" s="38"/>
      <c r="I340" s="38" t="s">
        <v>9</v>
      </c>
      <c r="J340" s="38"/>
      <c r="K340" s="166" t="s">
        <v>18</v>
      </c>
      <c r="L340" s="167" t="s">
        <v>21</v>
      </c>
      <c r="M340" s="166" t="s">
        <v>711</v>
      </c>
      <c r="N340" s="166" t="s">
        <v>264</v>
      </c>
      <c r="O340" s="166" t="s">
        <v>264</v>
      </c>
      <c r="P340" s="160" t="s">
        <v>264</v>
      </c>
      <c r="Q340" s="171" t="s">
        <v>9</v>
      </c>
      <c r="R340" s="171" t="s">
        <v>103</v>
      </c>
      <c r="S340" s="171" t="s">
        <v>112</v>
      </c>
      <c r="T340" s="166" t="s">
        <v>264</v>
      </c>
      <c r="U340" s="166" t="s">
        <v>264</v>
      </c>
      <c r="V340" s="166" t="s">
        <v>711</v>
      </c>
      <c r="W340" s="15"/>
      <c r="X340" s="160" t="s">
        <v>264</v>
      </c>
      <c r="Y340" s="166" t="s">
        <v>712</v>
      </c>
      <c r="Z340" s="59" t="str">
        <f>IF(OR($M340="",NOT($O340="{array}")),"",IFERROR(MATCH(PARAMETERS!$M340,DEFAULT!$B$5:$CI$5,0),""))</f>
        <v/>
      </c>
      <c r="AA340" s="56" t="str">
        <f t="shared" si="24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IF($AA340="","",IF($B340="I",VLOOKUP($AA340,#REF!,53,0),INDEX(VALUES!$B$1:$BF$1,1,$AA340)))</f>
        <v/>
      </c>
    </row>
    <row r="341" spans="1:29" outlineLevel="1" x14ac:dyDescent="0.25">
      <c r="A341" s="22"/>
      <c r="B341" s="41" t="str">
        <f t="shared" si="21"/>
        <v/>
      </c>
      <c r="C341" s="42">
        <f t="shared" si="25"/>
        <v>340</v>
      </c>
      <c r="D341" s="38"/>
      <c r="E341" s="38"/>
      <c r="F341" s="38"/>
      <c r="G341" s="38"/>
      <c r="H341" s="38"/>
      <c r="I341" s="38" t="s">
        <v>9</v>
      </c>
      <c r="J341" s="38"/>
      <c r="K341" s="166" t="s">
        <v>18</v>
      </c>
      <c r="L341" s="167" t="s">
        <v>21</v>
      </c>
      <c r="M341" s="166" t="s">
        <v>713</v>
      </c>
      <c r="N341" s="166" t="s">
        <v>264</v>
      </c>
      <c r="O341" s="166" t="s">
        <v>264</v>
      </c>
      <c r="P341" s="160" t="s">
        <v>264</v>
      </c>
      <c r="Q341" s="171" t="s">
        <v>9</v>
      </c>
      <c r="R341" s="171" t="s">
        <v>103</v>
      </c>
      <c r="S341" s="171" t="s">
        <v>112</v>
      </c>
      <c r="T341" s="166" t="s">
        <v>264</v>
      </c>
      <c r="U341" s="166" t="s">
        <v>264</v>
      </c>
      <c r="V341" s="166" t="s">
        <v>713</v>
      </c>
      <c r="W341" s="15"/>
      <c r="X341" s="160" t="s">
        <v>264</v>
      </c>
      <c r="Y341" s="166" t="s">
        <v>264</v>
      </c>
      <c r="Z341" s="59" t="str">
        <f>IF(OR($M341="",NOT($O341="{array}")),"",IFERROR(MATCH(PARAMETERS!$M341,DEFAULT!$B$5:$CI$5,0),""))</f>
        <v/>
      </c>
      <c r="AA341" s="56" t="str">
        <f t="shared" si="24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IF($AA341="","",IF($B341="I",VLOOKUP($AA341,#REF!,53,0),INDEX(VALUES!$B$1:$BF$1,1,$AA341)))</f>
        <v/>
      </c>
    </row>
    <row r="342" spans="1:29" outlineLevel="1" x14ac:dyDescent="0.25">
      <c r="A342" s="22"/>
      <c r="B342" s="41" t="str">
        <f t="shared" si="21"/>
        <v/>
      </c>
      <c r="C342" s="42">
        <f t="shared" si="25"/>
        <v>341</v>
      </c>
      <c r="D342" s="38"/>
      <c r="E342" s="38"/>
      <c r="F342" s="38"/>
      <c r="G342" s="38"/>
      <c r="H342" s="38"/>
      <c r="I342" s="38" t="s">
        <v>9</v>
      </c>
      <c r="J342" s="38"/>
      <c r="K342" s="166" t="s">
        <v>18</v>
      </c>
      <c r="L342" s="167" t="s">
        <v>21</v>
      </c>
      <c r="M342" s="166" t="s">
        <v>714</v>
      </c>
      <c r="N342" s="166" t="s">
        <v>264</v>
      </c>
      <c r="O342" s="166" t="s">
        <v>264</v>
      </c>
      <c r="P342" s="160" t="s">
        <v>264</v>
      </c>
      <c r="Q342" s="171" t="s">
        <v>9</v>
      </c>
      <c r="R342" s="171" t="s">
        <v>103</v>
      </c>
      <c r="S342" s="171" t="s">
        <v>112</v>
      </c>
      <c r="T342" s="166" t="s">
        <v>264</v>
      </c>
      <c r="U342" s="166" t="s">
        <v>264</v>
      </c>
      <c r="V342" s="166" t="s">
        <v>714</v>
      </c>
      <c r="W342" s="15"/>
      <c r="X342" s="160" t="s">
        <v>264</v>
      </c>
      <c r="Y342" s="166" t="s">
        <v>264</v>
      </c>
      <c r="Z342" s="59" t="str">
        <f>IF(OR($M342="",NOT($O342="{array}")),"",IFERROR(MATCH(PARAMETERS!$M342,DEFAULT!$B$5:$CI$5,0),""))</f>
        <v/>
      </c>
      <c r="AA342" s="56" t="str">
        <f t="shared" si="24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IF($AA342="","",IF($B342="I",VLOOKUP($AA342,#REF!,53,0),INDEX(VALUES!$B$1:$BF$1,1,$AA342)))</f>
        <v/>
      </c>
    </row>
    <row r="343" spans="1:29" x14ac:dyDescent="0.3">
      <c r="A343" s="22" t="s">
        <v>84</v>
      </c>
      <c r="B343" s="41" t="str">
        <f t="shared" ref="B343:B352" si="26">IF($A343="P",IF(NOT($Z343=""),"A",IF(NOT($AA343=""),"I","")),IF(NOT($AA343=""),IF($A343="G","V","X"),IF(NOT($Z343=""),"A","")))</f>
        <v/>
      </c>
      <c r="C343" s="42">
        <f t="shared" si="25"/>
        <v>342</v>
      </c>
      <c r="D343" s="38"/>
      <c r="E343" s="38"/>
      <c r="F343" s="38"/>
      <c r="G343" s="38"/>
      <c r="H343" s="38"/>
      <c r="I343" s="38"/>
      <c r="J343" s="38"/>
      <c r="K343" s="14" t="s">
        <v>57</v>
      </c>
      <c r="L343" s="14" t="s">
        <v>38</v>
      </c>
      <c r="M343" s="48" t="s">
        <v>715</v>
      </c>
      <c r="N343" s="41" t="s">
        <v>716</v>
      </c>
      <c r="R343" s="38" t="s">
        <v>103</v>
      </c>
      <c r="S343" s="38"/>
      <c r="T343" s="38"/>
      <c r="W343" s="15"/>
      <c r="Y343" s="53"/>
      <c r="Z343" s="59" t="str">
        <f>IF(OR($M343="",NOT($O343="{array}")),"",IFERROR(MATCH(PARAMETERS!$M343,DEFAULT!$B$5:$CI$5,0),""))</f>
        <v/>
      </c>
      <c r="AA343" s="56" t="str">
        <f t="shared" si="24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IF($AA343="","",IF($B343="I",VLOOKUP($AA343,#REF!,53,0),INDEX(VALUES!$B$1:$BF$1,1,$AA343)))</f>
        <v/>
      </c>
    </row>
    <row r="344" spans="1:29" outlineLevel="1" x14ac:dyDescent="0.3">
      <c r="A344" s="22" t="s">
        <v>84</v>
      </c>
      <c r="B344" s="41" t="str">
        <f t="shared" si="26"/>
        <v/>
      </c>
      <c r="C344" s="42">
        <f t="shared" si="25"/>
        <v>343</v>
      </c>
      <c r="D344" s="38"/>
      <c r="E344" s="38"/>
      <c r="F344" s="38" t="s">
        <v>9</v>
      </c>
      <c r="G344" s="38"/>
      <c r="H344" s="38"/>
      <c r="I344" s="38" t="s">
        <v>9</v>
      </c>
      <c r="J344" s="38"/>
      <c r="K344" s="14" t="s">
        <v>18</v>
      </c>
      <c r="L344" s="14" t="s">
        <v>21</v>
      </c>
      <c r="M344" s="20" t="s">
        <v>719</v>
      </c>
      <c r="N344" s="14" t="s">
        <v>720</v>
      </c>
      <c r="Q344" s="38" t="s">
        <v>9</v>
      </c>
      <c r="R344" s="38" t="s">
        <v>104</v>
      </c>
      <c r="S344" s="38"/>
      <c r="T344" s="38"/>
      <c r="W344" s="15"/>
      <c r="Z344" s="59" t="str">
        <f>IF(OR($M344="",NOT($O344="{array}")),"",IFERROR(MATCH(PARAMETERS!$M344,DEFAULT!$B$5:$CI$5,0),""))</f>
        <v/>
      </c>
      <c r="AA344" s="56" t="str">
        <f t="shared" si="24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IF($AA344="","",IF($B344="I",VLOOKUP($AA344,#REF!,53,0),INDEX(VALUES!$B$1:$BF$1,1,$AA344)))</f>
        <v/>
      </c>
    </row>
    <row r="345" spans="1:29" outlineLevel="1" x14ac:dyDescent="0.25">
      <c r="A345" s="22"/>
      <c r="B345" s="41" t="str">
        <f t="shared" si="26"/>
        <v/>
      </c>
      <c r="C345" s="42">
        <f t="shared" si="25"/>
        <v>344</v>
      </c>
      <c r="D345" s="38"/>
      <c r="E345" s="38"/>
      <c r="F345" s="38"/>
      <c r="G345" s="38"/>
      <c r="H345" s="38"/>
      <c r="I345" s="38" t="s">
        <v>9</v>
      </c>
      <c r="J345" s="38"/>
      <c r="K345" s="166" t="s">
        <v>18</v>
      </c>
      <c r="L345" s="167" t="s">
        <v>21</v>
      </c>
      <c r="M345" s="166" t="s">
        <v>721</v>
      </c>
      <c r="N345" s="166" t="s">
        <v>264</v>
      </c>
      <c r="O345" s="166" t="s">
        <v>264</v>
      </c>
      <c r="P345" s="160" t="s">
        <v>264</v>
      </c>
      <c r="Q345" s="160" t="s">
        <v>9</v>
      </c>
      <c r="R345" s="160" t="s">
        <v>103</v>
      </c>
      <c r="S345" s="160" t="s">
        <v>112</v>
      </c>
      <c r="T345" s="166" t="s">
        <v>264</v>
      </c>
      <c r="U345" s="166" t="s">
        <v>264</v>
      </c>
      <c r="V345" s="166" t="s">
        <v>721</v>
      </c>
      <c r="W345" s="15"/>
      <c r="X345" s="160" t="s">
        <v>264</v>
      </c>
      <c r="Y345" s="166" t="s">
        <v>722</v>
      </c>
      <c r="Z345" s="59" t="str">
        <f>IF(OR($M345="",NOT($O345="{array}")),"",IFERROR(MATCH(PARAMETERS!$M345,DEFAULT!$B$5:$CI$5,0),""))</f>
        <v/>
      </c>
      <c r="AA345" s="56" t="str">
        <f t="shared" si="24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IF($AA345="","",IF($B345="I",VLOOKUP($AA345,#REF!,53,0),INDEX(VALUES!$B$1:$BF$1,1,$AA345)))</f>
        <v/>
      </c>
    </row>
    <row r="346" spans="1:29" outlineLevel="1" x14ac:dyDescent="0.25">
      <c r="A346" s="22"/>
      <c r="B346" s="41" t="str">
        <f t="shared" si="26"/>
        <v/>
      </c>
      <c r="C346" s="42">
        <f t="shared" si="25"/>
        <v>345</v>
      </c>
      <c r="D346" s="38"/>
      <c r="E346" s="38"/>
      <c r="F346" s="38"/>
      <c r="G346" s="38"/>
      <c r="H346" s="38"/>
      <c r="I346" s="38" t="s">
        <v>9</v>
      </c>
      <c r="J346" s="38"/>
      <c r="K346" s="166" t="s">
        <v>100</v>
      </c>
      <c r="L346" s="167" t="s">
        <v>21</v>
      </c>
      <c r="M346" s="166" t="s">
        <v>723</v>
      </c>
      <c r="N346" s="166" t="s">
        <v>264</v>
      </c>
      <c r="O346" s="166" t="s">
        <v>724</v>
      </c>
      <c r="P346" s="160" t="s">
        <v>264</v>
      </c>
      <c r="Q346" s="160" t="s">
        <v>9</v>
      </c>
      <c r="R346" s="160" t="s">
        <v>103</v>
      </c>
      <c r="S346" s="160" t="s">
        <v>112</v>
      </c>
      <c r="T346" s="166" t="s">
        <v>264</v>
      </c>
      <c r="U346" s="166" t="s">
        <v>264</v>
      </c>
      <c r="V346" s="166" t="s">
        <v>723</v>
      </c>
      <c r="W346" s="15"/>
      <c r="X346" s="160" t="s">
        <v>264</v>
      </c>
      <c r="Y346" s="166" t="s">
        <v>725</v>
      </c>
      <c r="Z346" s="59" t="str">
        <f>IF(OR($M346="",NOT($O346="{array}")),"",IFERROR(MATCH(PARAMETERS!$M346,DEFAULT!$B$5:$CI$5,0),""))</f>
        <v/>
      </c>
      <c r="AA346" s="56" t="str">
        <f t="shared" si="24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IF($AA346="","",IF($B346="I",VLOOKUP($AA346,#REF!,53,0),INDEX(VALUES!$B$1:$BF$1,1,$AA346)))</f>
        <v/>
      </c>
    </row>
    <row r="347" spans="1:29" outlineLevel="1" x14ac:dyDescent="0.25">
      <c r="A347" s="22"/>
      <c r="B347" s="41" t="str">
        <f t="shared" si="26"/>
        <v/>
      </c>
      <c r="C347" s="42">
        <f t="shared" si="25"/>
        <v>346</v>
      </c>
      <c r="D347" s="38"/>
      <c r="E347" s="38"/>
      <c r="F347" s="38"/>
      <c r="G347" s="38"/>
      <c r="H347" s="38"/>
      <c r="I347" s="38" t="s">
        <v>9</v>
      </c>
      <c r="J347" s="38"/>
      <c r="K347" s="166" t="s">
        <v>100</v>
      </c>
      <c r="L347" s="167" t="s">
        <v>21</v>
      </c>
      <c r="M347" s="166" t="s">
        <v>726</v>
      </c>
      <c r="N347" s="166" t="s">
        <v>264</v>
      </c>
      <c r="O347" s="166" t="s">
        <v>727</v>
      </c>
      <c r="P347" s="160" t="s">
        <v>264</v>
      </c>
      <c r="Q347" s="160" t="s">
        <v>9</v>
      </c>
      <c r="R347" s="160" t="s">
        <v>103</v>
      </c>
      <c r="S347" s="160" t="s">
        <v>112</v>
      </c>
      <c r="T347" s="166" t="s">
        <v>264</v>
      </c>
      <c r="U347" s="166" t="s">
        <v>264</v>
      </c>
      <c r="V347" s="166" t="s">
        <v>726</v>
      </c>
      <c r="W347" s="15"/>
      <c r="X347" s="160" t="s">
        <v>264</v>
      </c>
      <c r="Y347" s="166" t="s">
        <v>725</v>
      </c>
      <c r="Z347" s="59" t="str">
        <f>IF(OR($M347="",NOT($O347="{array}")),"",IFERROR(MATCH(PARAMETERS!$M347,DEFAULT!$B$5:$CI$5,0),""))</f>
        <v/>
      </c>
      <c r="AA347" s="56" t="str">
        <f t="shared" si="24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IF($AA347="","",IF($B347="I",VLOOKUP($AA347,#REF!,53,0),INDEX(VALUES!$B$1:$BF$1,1,$AA347)))</f>
        <v/>
      </c>
    </row>
    <row r="348" spans="1:29" outlineLevel="1" x14ac:dyDescent="0.25">
      <c r="A348" s="22"/>
      <c r="B348" s="41" t="str">
        <f t="shared" si="26"/>
        <v/>
      </c>
      <c r="C348" s="42">
        <f t="shared" si="25"/>
        <v>347</v>
      </c>
      <c r="D348" s="38"/>
      <c r="E348" s="38"/>
      <c r="F348" s="38"/>
      <c r="G348" s="38"/>
      <c r="H348" s="38"/>
      <c r="I348" s="38" t="s">
        <v>9</v>
      </c>
      <c r="J348" s="38"/>
      <c r="K348" s="166" t="s">
        <v>47</v>
      </c>
      <c r="L348" s="167" t="s">
        <v>21</v>
      </c>
      <c r="M348" s="166" t="s">
        <v>728</v>
      </c>
      <c r="N348" s="166" t="s">
        <v>264</v>
      </c>
      <c r="O348" s="166" t="s">
        <v>264</v>
      </c>
      <c r="P348" s="160" t="s">
        <v>264</v>
      </c>
      <c r="Q348" s="160" t="s">
        <v>9</v>
      </c>
      <c r="R348" s="160" t="s">
        <v>103</v>
      </c>
      <c r="S348" s="160" t="s">
        <v>112</v>
      </c>
      <c r="T348" s="166" t="s">
        <v>264</v>
      </c>
      <c r="U348" s="166" t="s">
        <v>264</v>
      </c>
      <c r="V348" s="166" t="s">
        <v>728</v>
      </c>
      <c r="W348" s="15"/>
      <c r="X348" s="160" t="s">
        <v>264</v>
      </c>
      <c r="Y348" s="166" t="s">
        <v>729</v>
      </c>
      <c r="Z348" s="59" t="str">
        <f>IF(OR($M348="",NOT($O348="{array}")),"",IFERROR(MATCH(PARAMETERS!$M348,DEFAULT!$B$5:$CI$5,0),""))</f>
        <v/>
      </c>
      <c r="AA348" s="56" t="str">
        <f t="shared" si="24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IF($AA348="","",IF($B348="I",VLOOKUP($AA348,#REF!,53,0),INDEX(VALUES!$B$1:$BF$1,1,$AA348)))</f>
        <v/>
      </c>
    </row>
    <row r="349" spans="1:29" outlineLevel="1" x14ac:dyDescent="0.25">
      <c r="A349" s="22"/>
      <c r="B349" s="41" t="str">
        <f t="shared" si="26"/>
        <v/>
      </c>
      <c r="C349" s="42">
        <f t="shared" si="25"/>
        <v>348</v>
      </c>
      <c r="D349" s="38"/>
      <c r="E349" s="38"/>
      <c r="F349" s="38"/>
      <c r="G349" s="38"/>
      <c r="H349" s="38"/>
      <c r="I349" s="38" t="s">
        <v>9</v>
      </c>
      <c r="J349" s="38"/>
      <c r="K349" s="166" t="s">
        <v>47</v>
      </c>
      <c r="L349" s="167" t="s">
        <v>21</v>
      </c>
      <c r="M349" s="166" t="s">
        <v>730</v>
      </c>
      <c r="N349" s="166" t="s">
        <v>264</v>
      </c>
      <c r="O349" s="166" t="s">
        <v>264</v>
      </c>
      <c r="P349" s="160" t="s">
        <v>264</v>
      </c>
      <c r="Q349" s="160" t="s">
        <v>9</v>
      </c>
      <c r="R349" s="160" t="s">
        <v>103</v>
      </c>
      <c r="S349" s="160" t="s">
        <v>112</v>
      </c>
      <c r="T349" s="166" t="s">
        <v>264</v>
      </c>
      <c r="U349" s="166" t="s">
        <v>264</v>
      </c>
      <c r="V349" s="166" t="s">
        <v>730</v>
      </c>
      <c r="W349" s="15"/>
      <c r="X349" s="160" t="s">
        <v>264</v>
      </c>
      <c r="Y349" s="166" t="s">
        <v>731</v>
      </c>
      <c r="Z349" s="59" t="str">
        <f>IF(OR($M349="",NOT($O349="{array}")),"",IFERROR(MATCH(PARAMETERS!$M349,DEFAULT!$B$5:$CI$5,0),""))</f>
        <v/>
      </c>
      <c r="AA349" s="56" t="str">
        <f t="shared" si="24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IF($AA349="","",IF($B349="I",VLOOKUP($AA349,#REF!,53,0),INDEX(VALUES!$B$1:$BF$1,1,$AA349)))</f>
        <v/>
      </c>
    </row>
    <row r="350" spans="1:29" outlineLevel="1" x14ac:dyDescent="0.25">
      <c r="A350" s="22"/>
      <c r="B350" s="41" t="str">
        <f t="shared" si="26"/>
        <v/>
      </c>
      <c r="C350" s="42">
        <f t="shared" si="25"/>
        <v>349</v>
      </c>
      <c r="D350" s="38"/>
      <c r="E350" s="38"/>
      <c r="F350" s="38"/>
      <c r="G350" s="38"/>
      <c r="H350" s="38"/>
      <c r="I350" s="38" t="s">
        <v>9</v>
      </c>
      <c r="J350" s="38"/>
      <c r="K350" s="166" t="s">
        <v>100</v>
      </c>
      <c r="L350" s="167" t="s">
        <v>21</v>
      </c>
      <c r="M350" s="166" t="s">
        <v>732</v>
      </c>
      <c r="N350" s="166" t="s">
        <v>264</v>
      </c>
      <c r="O350" s="166" t="s">
        <v>733</v>
      </c>
      <c r="P350" s="160" t="s">
        <v>264</v>
      </c>
      <c r="Q350" s="160" t="s">
        <v>9</v>
      </c>
      <c r="R350" s="160" t="s">
        <v>103</v>
      </c>
      <c r="S350" s="160" t="s">
        <v>112</v>
      </c>
      <c r="T350" s="166" t="s">
        <v>264</v>
      </c>
      <c r="U350" s="166" t="s">
        <v>264</v>
      </c>
      <c r="V350" s="166" t="s">
        <v>732</v>
      </c>
      <c r="W350" s="15"/>
      <c r="X350" s="160" t="s">
        <v>264</v>
      </c>
      <c r="Y350" s="166" t="s">
        <v>734</v>
      </c>
      <c r="Z350" s="59" t="str">
        <f>IF(OR($M350="",NOT($O350="{array}")),"",IFERROR(MATCH(PARAMETERS!$M350,DEFAULT!$B$5:$CI$5,0),""))</f>
        <v/>
      </c>
      <c r="AA350" s="56" t="str">
        <f t="shared" si="24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IF($AA350="","",IF($B350="I",VLOOKUP($AA350,#REF!,53,0),INDEX(VALUES!$B$1:$BF$1,1,$AA350)))</f>
        <v/>
      </c>
    </row>
    <row r="351" spans="1:29" outlineLevel="1" x14ac:dyDescent="0.25">
      <c r="A351" s="22"/>
      <c r="B351" s="41" t="str">
        <f t="shared" si="26"/>
        <v/>
      </c>
      <c r="C351" s="42">
        <f t="shared" si="25"/>
        <v>350</v>
      </c>
      <c r="D351" s="38"/>
      <c r="E351" s="38"/>
      <c r="F351" s="38"/>
      <c r="G351" s="38"/>
      <c r="H351" s="38"/>
      <c r="I351" s="38" t="s">
        <v>9</v>
      </c>
      <c r="J351" s="38"/>
      <c r="K351" s="166" t="s">
        <v>47</v>
      </c>
      <c r="L351" s="167" t="s">
        <v>21</v>
      </c>
      <c r="M351" s="166" t="s">
        <v>735</v>
      </c>
      <c r="N351" s="166" t="s">
        <v>264</v>
      </c>
      <c r="O351" s="166" t="s">
        <v>264</v>
      </c>
      <c r="P351" s="160" t="s">
        <v>264</v>
      </c>
      <c r="Q351" s="160" t="s">
        <v>9</v>
      </c>
      <c r="R351" s="160" t="s">
        <v>103</v>
      </c>
      <c r="S351" s="160" t="s">
        <v>112</v>
      </c>
      <c r="T351" s="166" t="s">
        <v>264</v>
      </c>
      <c r="U351" s="166" t="s">
        <v>264</v>
      </c>
      <c r="V351" s="166" t="s">
        <v>735</v>
      </c>
      <c r="W351" s="15"/>
      <c r="X351" s="160" t="s">
        <v>264</v>
      </c>
      <c r="Y351" s="166" t="s">
        <v>264</v>
      </c>
      <c r="Z351" s="59" t="str">
        <f>IF(OR($M351="",NOT($O351="{array}")),"",IFERROR(MATCH(PARAMETERS!$M351,DEFAULT!$B$5:$CI$5,0),""))</f>
        <v/>
      </c>
      <c r="AA351" s="56" t="str">
        <f t="shared" si="24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IF($AA351="","",IF($B351="I",VLOOKUP($AA351,#REF!,53,0),INDEX(VALUES!$B$1:$BF$1,1,$AA351)))</f>
        <v/>
      </c>
    </row>
    <row r="352" spans="1:29" outlineLevel="1" x14ac:dyDescent="0.3">
      <c r="A352" s="22" t="s">
        <v>84</v>
      </c>
      <c r="B352" s="41" t="str">
        <f t="shared" si="26"/>
        <v/>
      </c>
      <c r="C352" s="42">
        <f t="shared" si="25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18</v>
      </c>
      <c r="L352" s="14" t="s">
        <v>21</v>
      </c>
      <c r="M352" s="20" t="s">
        <v>736</v>
      </c>
      <c r="N352" s="14" t="s">
        <v>737</v>
      </c>
      <c r="Q352" s="38" t="s">
        <v>9</v>
      </c>
      <c r="R352" s="38" t="s">
        <v>104</v>
      </c>
      <c r="S352" s="38"/>
      <c r="T352" s="38"/>
      <c r="W352" s="15"/>
      <c r="Z352" s="59" t="str">
        <f>IF(OR($M352="",NOT($O352="{array}")),"",IFERROR(MATCH(PARAMETERS!$M352,DEFAULT!$B$5:$CI$5,0),""))</f>
        <v/>
      </c>
      <c r="AA352" s="56" t="str">
        <f t="shared" si="24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IF($AA352="","",IF($B352="I",VLOOKUP($AA352,#REF!,53,0),INDEX(VALUES!$B$1:$BF$1,1,$AA352)))</f>
        <v/>
      </c>
    </row>
    <row r="353" spans="1:29" x14ac:dyDescent="0.3">
      <c r="A353" s="22" t="s">
        <v>188</v>
      </c>
      <c r="B353" s="41"/>
      <c r="C353" s="42"/>
      <c r="D353" s="38"/>
      <c r="E353" s="38"/>
      <c r="F353" s="38"/>
      <c r="G353" s="38"/>
      <c r="H353" s="38"/>
      <c r="I353" s="38"/>
      <c r="J353" s="38"/>
      <c r="R353" s="38"/>
      <c r="S353" s="38"/>
      <c r="T353" s="38"/>
      <c r="W353" s="15"/>
      <c r="Z353" s="59" t="str">
        <f>IF(OR($M353="",NOT($O353="{array}")),"",IFERROR(MATCH(PARAMETERS!$M353,DEFAULT!$B$5:$CI$5,0),""))</f>
        <v/>
      </c>
      <c r="AA353" s="56" t="str">
        <f t="shared" si="24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IF($AA353="","",IF($B353="I",VLOOKUP($AA353,#REF!,53,0),INDEX(VALUES!$B$1:$BF$1,1,$AA353)))</f>
        <v/>
      </c>
    </row>
    <row r="354" spans="1:29" x14ac:dyDescent="0.3">
      <c r="A354" s="22" t="s">
        <v>84</v>
      </c>
      <c r="B354" s="41" t="str">
        <f t="shared" ref="B354:B379" si="27">IF($A354="P",IF(NOT($Z354=""),"A",IF(NOT($AA354=""),"I","")),IF(NOT($AA354=""),IF($A354="G","V","X"),IF(NOT($Z354=""),"A","")))</f>
        <v/>
      </c>
      <c r="C354" s="42">
        <f t="shared" ref="C354:C379" si="28">(ROW()-1)</f>
        <v>353</v>
      </c>
      <c r="D354" s="38"/>
      <c r="E354" s="38"/>
      <c r="F354" s="38" t="s">
        <v>9</v>
      </c>
      <c r="G354" s="38" t="s">
        <v>9</v>
      </c>
      <c r="H354" s="38"/>
      <c r="I354" s="38"/>
      <c r="J354" s="38"/>
      <c r="K354" s="14" t="s">
        <v>57</v>
      </c>
      <c r="L354" s="14" t="s">
        <v>38</v>
      </c>
      <c r="M354" s="48" t="s">
        <v>189</v>
      </c>
      <c r="N354" s="41" t="s">
        <v>190</v>
      </c>
      <c r="R354" s="38" t="s">
        <v>104</v>
      </c>
      <c r="S354" s="38"/>
      <c r="T354" s="38"/>
      <c r="W354" s="15"/>
      <c r="Z354" s="59" t="str">
        <f>IF(OR($M354="",NOT($O354="{array}")),"",IFERROR(MATCH(PARAMETERS!$M354,DEFAULT!$B$5:$CI$5,0),""))</f>
        <v/>
      </c>
      <c r="AA354" s="56" t="str">
        <f t="shared" si="24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IF($AA354="","",IF($B354="I",VLOOKUP($AA354,#REF!,53,0),INDEX(VALUES!$B$1:$BF$1,1,$AA354)))</f>
        <v/>
      </c>
    </row>
    <row r="355" spans="1:29" collapsed="1" x14ac:dyDescent="0.3">
      <c r="A355" s="22" t="s">
        <v>84</v>
      </c>
      <c r="B355" s="41" t="str">
        <f t="shared" si="27"/>
        <v/>
      </c>
      <c r="C355" s="42">
        <f t="shared" si="28"/>
        <v>354</v>
      </c>
      <c r="D355" s="246"/>
      <c r="E355" s="38"/>
      <c r="F355" s="247" t="s">
        <v>9</v>
      </c>
      <c r="G355" s="208" t="s">
        <v>9</v>
      </c>
      <c r="H355" s="38"/>
      <c r="I355" s="38"/>
      <c r="J355" s="38"/>
      <c r="K355" s="14" t="s">
        <v>57</v>
      </c>
      <c r="L355" s="14" t="s">
        <v>38</v>
      </c>
      <c r="M355" s="48" t="s">
        <v>738</v>
      </c>
      <c r="N355" s="41" t="s">
        <v>739</v>
      </c>
      <c r="R355" s="38" t="s">
        <v>104</v>
      </c>
      <c r="S355" s="38"/>
      <c r="T355" s="38"/>
      <c r="W355" s="15" t="s">
        <v>104</v>
      </c>
      <c r="X355" s="15" t="s">
        <v>1385</v>
      </c>
      <c r="Z355" s="59" t="str">
        <f>IF(OR($M355="",NOT($O355="{array}")),"",IFERROR(MATCH(PARAMETERS!$M355,DEFAULT!$B$5:$CI$5,0),""))</f>
        <v/>
      </c>
      <c r="AA355" s="56" t="str">
        <f t="shared" si="24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IF($AA355="","",IF($B355="I",VLOOKUP($AA355,#REF!,53,0),INDEX(VALUES!$B$1:$BF$1,1,$AA355)))</f>
        <v/>
      </c>
    </row>
    <row r="356" spans="1:29" outlineLevel="1" x14ac:dyDescent="0.3">
      <c r="A356" s="22" t="s">
        <v>84</v>
      </c>
      <c r="B356" s="41" t="str">
        <f t="shared" si="27"/>
        <v/>
      </c>
      <c r="C356" s="42">
        <f t="shared" si="28"/>
        <v>355</v>
      </c>
      <c r="D356" s="246" t="s">
        <v>9</v>
      </c>
      <c r="E356" s="38"/>
      <c r="F356" s="247"/>
      <c r="G356" s="208" t="s">
        <v>9</v>
      </c>
      <c r="H356" s="38"/>
      <c r="I356" s="38" t="s">
        <v>9</v>
      </c>
      <c r="J356" s="38"/>
      <c r="K356" s="53" t="s">
        <v>44</v>
      </c>
      <c r="L356" s="53" t="s">
        <v>27</v>
      </c>
      <c r="M356" s="157" t="s">
        <v>860</v>
      </c>
      <c r="N356" s="53" t="s">
        <v>861</v>
      </c>
      <c r="O356" s="155">
        <v>1</v>
      </c>
      <c r="P356" s="53"/>
      <c r="Q356" s="208"/>
      <c r="R356" s="208" t="s">
        <v>195</v>
      </c>
      <c r="S356" s="38"/>
      <c r="T356" s="38"/>
      <c r="W356" s="15"/>
      <c r="X356" s="15" t="s">
        <v>1385</v>
      </c>
      <c r="Z356" s="59" t="str">
        <f>IF(OR($M356="",NOT($O356="{array}")),"",IFERROR(MATCH(PARAMETERS!$M356,DEFAULT!$B$5:$CI$5,0),""))</f>
        <v/>
      </c>
      <c r="AA356" s="56" t="str">
        <f t="shared" si="24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IF($AA356="","",IF($B356="I",VLOOKUP($AA356,#REF!,53,0),INDEX(VALUES!$B$1:$BF$1,1,$AA356)))</f>
        <v/>
      </c>
    </row>
    <row r="357" spans="1:29" outlineLevel="1" x14ac:dyDescent="0.3">
      <c r="A357" s="22" t="s">
        <v>84</v>
      </c>
      <c r="B357" s="41" t="str">
        <f t="shared" si="27"/>
        <v/>
      </c>
      <c r="C357" s="42">
        <f t="shared" si="28"/>
        <v>356</v>
      </c>
      <c r="D357" s="246" t="s">
        <v>9</v>
      </c>
      <c r="E357" s="38"/>
      <c r="F357" s="247"/>
      <c r="G357" s="208" t="s">
        <v>9</v>
      </c>
      <c r="H357" s="38"/>
      <c r="I357" s="38" t="s">
        <v>9</v>
      </c>
      <c r="J357" s="38"/>
      <c r="K357" s="53" t="s">
        <v>44</v>
      </c>
      <c r="L357" s="53" t="s">
        <v>27</v>
      </c>
      <c r="M357" s="157" t="s">
        <v>874</v>
      </c>
      <c r="N357" s="53" t="s">
        <v>875</v>
      </c>
      <c r="O357" s="155">
        <v>1</v>
      </c>
      <c r="P357" s="53"/>
      <c r="Q357" s="208"/>
      <c r="R357" s="208" t="s">
        <v>195</v>
      </c>
      <c r="S357" s="38"/>
      <c r="T357" s="38"/>
      <c r="W357" s="15"/>
      <c r="X357" s="15" t="s">
        <v>1385</v>
      </c>
      <c r="Z357" s="59" t="str">
        <f>IF(OR($M357="",NOT($O357="{array}")),"",IFERROR(MATCH(PARAMETERS!$M357,DEFAULT!$B$5:$CI$5,0),""))</f>
        <v/>
      </c>
      <c r="AA357" s="56" t="str">
        <f t="shared" si="24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IF($AA357="","",IF($B357="I",VLOOKUP($AA357,#REF!,53,0),INDEX(VALUES!$B$1:$BF$1,1,$AA357)))</f>
        <v/>
      </c>
    </row>
    <row r="358" spans="1:29" outlineLevel="1" x14ac:dyDescent="0.3">
      <c r="A358" s="22" t="s">
        <v>84</v>
      </c>
      <c r="B358" s="41" t="str">
        <f t="shared" si="27"/>
        <v/>
      </c>
      <c r="C358" s="42">
        <f t="shared" si="28"/>
        <v>357</v>
      </c>
      <c r="D358" s="246" t="s">
        <v>9</v>
      </c>
      <c r="E358" s="38"/>
      <c r="F358" s="247"/>
      <c r="G358" s="208" t="s">
        <v>9</v>
      </c>
      <c r="H358" s="38"/>
      <c r="I358" s="38" t="s">
        <v>9</v>
      </c>
      <c r="J358" s="38"/>
      <c r="K358" s="53" t="s">
        <v>44</v>
      </c>
      <c r="L358" s="53" t="s">
        <v>27</v>
      </c>
      <c r="M358" s="157" t="s">
        <v>872</v>
      </c>
      <c r="N358" s="53" t="s">
        <v>873</v>
      </c>
      <c r="O358" s="155">
        <v>1</v>
      </c>
      <c r="P358" s="53"/>
      <c r="Q358" s="208"/>
      <c r="R358" s="208" t="s">
        <v>195</v>
      </c>
      <c r="S358" s="38"/>
      <c r="T358" s="38"/>
      <c r="W358" s="15"/>
      <c r="X358" s="15" t="s">
        <v>1385</v>
      </c>
      <c r="Z358" s="59" t="str">
        <f>IF(OR($M358="",NOT($O358="{array}")),"",IFERROR(MATCH(PARAMETERS!$M358,DEFAULT!$B$5:$CI$5,0),""))</f>
        <v/>
      </c>
      <c r="AA358" s="56" t="str">
        <f t="shared" si="24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IF($AA358="","",IF($B358="I",VLOOKUP($AA358,#REF!,53,0),INDEX(VALUES!$B$1:$BF$1,1,$AA358)))</f>
        <v/>
      </c>
    </row>
    <row r="359" spans="1:29" outlineLevel="1" x14ac:dyDescent="0.3">
      <c r="A359" s="22" t="s">
        <v>84</v>
      </c>
      <c r="B359" s="41" t="str">
        <f t="shared" si="27"/>
        <v/>
      </c>
      <c r="C359" s="42">
        <f t="shared" si="28"/>
        <v>358</v>
      </c>
      <c r="D359" s="246" t="s">
        <v>9</v>
      </c>
      <c r="E359" s="38"/>
      <c r="F359" s="247" t="s">
        <v>9</v>
      </c>
      <c r="G359" s="208" t="s">
        <v>9</v>
      </c>
      <c r="H359" s="38"/>
      <c r="I359" s="38" t="s">
        <v>9</v>
      </c>
      <c r="J359" s="38"/>
      <c r="K359" s="14" t="s">
        <v>31</v>
      </c>
      <c r="L359" s="14" t="s">
        <v>27</v>
      </c>
      <c r="M359" s="151" t="s">
        <v>740</v>
      </c>
      <c r="N359" s="14" t="s">
        <v>741</v>
      </c>
      <c r="O359" s="43">
        <v>90</v>
      </c>
      <c r="R359" s="38" t="s">
        <v>104</v>
      </c>
      <c r="S359" s="38"/>
      <c r="T359" s="38"/>
      <c r="W359" s="15" t="s">
        <v>104</v>
      </c>
      <c r="X359" s="15" t="s">
        <v>1385</v>
      </c>
      <c r="Z359" s="59" t="str">
        <f>IF(OR($M359="",NOT($O359="{array}")),"",IFERROR(MATCH(PARAMETERS!$M359,DEFAULT!$B$5:$CI$5,0),""))</f>
        <v/>
      </c>
      <c r="AA359" s="56" t="str">
        <f t="shared" si="24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IF($AA359="","",IF($B359="I",VLOOKUP($AA359,#REF!,53,0),INDEX(VALUES!$B$1:$BF$1,1,$AA359)))</f>
        <v/>
      </c>
    </row>
    <row r="360" spans="1:29" outlineLevel="1" x14ac:dyDescent="0.3">
      <c r="A360" s="22" t="s">
        <v>84</v>
      </c>
      <c r="B360" s="41" t="str">
        <f t="shared" si="27"/>
        <v/>
      </c>
      <c r="C360" s="42">
        <f t="shared" si="28"/>
        <v>359</v>
      </c>
      <c r="D360" s="246" t="s">
        <v>9</v>
      </c>
      <c r="E360" s="38"/>
      <c r="F360" s="247"/>
      <c r="G360" s="208" t="s">
        <v>9</v>
      </c>
      <c r="H360" s="38"/>
      <c r="I360" s="38" t="s">
        <v>9</v>
      </c>
      <c r="J360" s="38"/>
      <c r="K360" s="14" t="s">
        <v>31</v>
      </c>
      <c r="L360" s="14" t="s">
        <v>27</v>
      </c>
      <c r="M360" s="151" t="s">
        <v>742</v>
      </c>
      <c r="N360" s="14" t="s">
        <v>743</v>
      </c>
      <c r="O360" s="43">
        <v>90</v>
      </c>
      <c r="R360" s="38" t="s">
        <v>104</v>
      </c>
      <c r="S360" s="38"/>
      <c r="T360" s="38"/>
      <c r="W360" s="15" t="s">
        <v>104</v>
      </c>
      <c r="X360" s="15" t="s">
        <v>1385</v>
      </c>
      <c r="Z360" s="59" t="str">
        <f>IF(OR($M360="",NOT($O360="{array}")),"",IFERROR(MATCH(PARAMETERS!$M360,DEFAULT!$B$5:$CI$5,0),""))</f>
        <v/>
      </c>
      <c r="AA360" s="56" t="str">
        <f t="shared" si="24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IF($AA360="","",IF($B360="I",VLOOKUP($AA360,#REF!,53,0),INDEX(VALUES!$B$1:$BF$1,1,$AA360)))</f>
        <v/>
      </c>
    </row>
    <row r="361" spans="1:29" outlineLevel="1" x14ac:dyDescent="0.3">
      <c r="A361" s="22" t="s">
        <v>84</v>
      </c>
      <c r="B361" s="41" t="str">
        <f t="shared" si="27"/>
        <v/>
      </c>
      <c r="C361" s="42">
        <f t="shared" si="28"/>
        <v>360</v>
      </c>
      <c r="D361" s="246" t="s">
        <v>9</v>
      </c>
      <c r="E361" s="38"/>
      <c r="F361" s="247" t="s">
        <v>9</v>
      </c>
      <c r="G361" s="208" t="s">
        <v>9</v>
      </c>
      <c r="H361" s="38"/>
      <c r="I361" s="38" t="s">
        <v>9</v>
      </c>
      <c r="J361" s="38"/>
      <c r="K361" s="14" t="s">
        <v>31</v>
      </c>
      <c r="L361" s="14" t="s">
        <v>27</v>
      </c>
      <c r="M361" s="151" t="s">
        <v>744</v>
      </c>
      <c r="N361" s="14" t="s">
        <v>745</v>
      </c>
      <c r="O361" s="43">
        <v>0</v>
      </c>
      <c r="P361" s="212"/>
      <c r="Q361" s="213"/>
      <c r="R361" s="213" t="s">
        <v>104</v>
      </c>
      <c r="S361" s="38"/>
      <c r="T361" s="38"/>
      <c r="W361" s="15" t="s">
        <v>104</v>
      </c>
      <c r="X361" s="15" t="s">
        <v>1385</v>
      </c>
      <c r="Z361" s="59" t="str">
        <f>IF(OR($M361="",NOT($O361="{array}")),"",IFERROR(MATCH(PARAMETERS!$M361,DEFAULT!$B$5:$CI$5,0),""))</f>
        <v/>
      </c>
      <c r="AA361" s="56" t="str">
        <f t="shared" si="24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IF($AA361="","",IF($B361="I",VLOOKUP($AA361,#REF!,53,0),INDEX(VALUES!$B$1:$BF$1,1,$AA361)))</f>
        <v/>
      </c>
    </row>
    <row r="362" spans="1:29" outlineLevel="1" x14ac:dyDescent="0.3">
      <c r="A362" s="22" t="s">
        <v>84</v>
      </c>
      <c r="B362" s="41" t="str">
        <f t="shared" si="27"/>
        <v/>
      </c>
      <c r="C362" s="42">
        <f t="shared" si="28"/>
        <v>361</v>
      </c>
      <c r="D362" s="246" t="s">
        <v>9</v>
      </c>
      <c r="E362" s="38"/>
      <c r="F362" s="247"/>
      <c r="G362" s="208" t="s">
        <v>9</v>
      </c>
      <c r="H362" s="38"/>
      <c r="I362" s="38" t="s">
        <v>9</v>
      </c>
      <c r="J362" s="38"/>
      <c r="K362" s="14" t="s">
        <v>31</v>
      </c>
      <c r="L362" s="14" t="s">
        <v>27</v>
      </c>
      <c r="M362" s="151" t="s">
        <v>746</v>
      </c>
      <c r="N362" s="14" t="s">
        <v>747</v>
      </c>
      <c r="O362" s="43">
        <v>0</v>
      </c>
      <c r="P362" s="212"/>
      <c r="Q362" s="213"/>
      <c r="R362" s="213" t="s">
        <v>104</v>
      </c>
      <c r="S362" s="38"/>
      <c r="T362" s="38"/>
      <c r="W362" s="15" t="s">
        <v>104</v>
      </c>
      <c r="X362" s="15" t="s">
        <v>1385</v>
      </c>
      <c r="Z362" s="59" t="str">
        <f>IF(OR($M362="",NOT($O362="{array}")),"",IFERROR(MATCH(PARAMETERS!$M362,DEFAULT!$B$5:$CI$5,0),""))</f>
        <v/>
      </c>
      <c r="AA362" s="56" t="str">
        <f t="shared" si="24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IF($AA362="","",IF($B362="I",VLOOKUP($AA362,#REF!,53,0),INDEX(VALUES!$B$1:$BF$1,1,$AA362)))</f>
        <v/>
      </c>
    </row>
    <row r="363" spans="1:29" outlineLevel="1" x14ac:dyDescent="0.3">
      <c r="A363" s="22" t="s">
        <v>84</v>
      </c>
      <c r="B363" s="41" t="str">
        <f t="shared" si="27"/>
        <v>A</v>
      </c>
      <c r="C363" s="42">
        <f t="shared" si="28"/>
        <v>362</v>
      </c>
      <c r="D363" s="246" t="s">
        <v>9</v>
      </c>
      <c r="E363" s="38"/>
      <c r="F363" s="247"/>
      <c r="G363" s="208" t="s">
        <v>9</v>
      </c>
      <c r="H363" s="38"/>
      <c r="I363" s="38" t="s">
        <v>9</v>
      </c>
      <c r="J363" s="38"/>
      <c r="K363" s="14" t="s">
        <v>31</v>
      </c>
      <c r="L363" s="14" t="s">
        <v>27</v>
      </c>
      <c r="M363" s="157" t="s">
        <v>885</v>
      </c>
      <c r="N363" s="53" t="s">
        <v>886</v>
      </c>
      <c r="O363" s="155" t="s">
        <v>33</v>
      </c>
      <c r="P363" s="53"/>
      <c r="Q363" s="208"/>
      <c r="R363" s="208" t="s">
        <v>195</v>
      </c>
      <c r="S363" s="38"/>
      <c r="T363" s="38"/>
      <c r="W363" s="15"/>
      <c r="X363" s="15" t="s">
        <v>1385</v>
      </c>
      <c r="Z363" s="59">
        <f>IF(OR($M363="",NOT($O363="{array}")),"",IFERROR(MATCH(PARAMETERS!$M363,DEFAULT!$B$5:$CI$5,0),""))</f>
        <v>72</v>
      </c>
      <c r="AA363" s="56" t="str">
        <f t="shared" si="24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IF($AA363="","",IF($B363="I",VLOOKUP($AA363,#REF!,53,0),INDEX(VALUES!$B$1:$BF$1,1,$AA363)))</f>
        <v/>
      </c>
    </row>
    <row r="364" spans="1:29" outlineLevel="1" x14ac:dyDescent="0.3">
      <c r="A364" s="22"/>
      <c r="B364" s="41" t="str">
        <f>IF($A364="P",IF(NOT($Z364=""),"A",IF(NOT($AA364=""),"I","")),IF(NOT($AA364=""),IF($A364="G","V","X"),IF(NOT($Z364=""),"A","")))</f>
        <v/>
      </c>
      <c r="C364" s="42">
        <f t="shared" si="28"/>
        <v>363</v>
      </c>
      <c r="D364" s="246" t="s">
        <v>9</v>
      </c>
      <c r="E364" s="38"/>
      <c r="F364" s="247"/>
      <c r="G364" s="208" t="s">
        <v>9</v>
      </c>
      <c r="H364" s="38"/>
      <c r="I364" s="38" t="s">
        <v>9</v>
      </c>
      <c r="J364" s="38"/>
      <c r="K364" s="53" t="s">
        <v>47</v>
      </c>
      <c r="L364" s="53" t="s">
        <v>27</v>
      </c>
      <c r="M364" s="157" t="s">
        <v>1293</v>
      </c>
      <c r="N364" s="53" t="s">
        <v>1294</v>
      </c>
      <c r="O364" s="155">
        <v>1</v>
      </c>
      <c r="P364" s="53"/>
      <c r="Q364" s="208"/>
      <c r="R364" s="208" t="s">
        <v>195</v>
      </c>
      <c r="S364" s="38"/>
      <c r="T364" s="38"/>
      <c r="W364" s="15"/>
      <c r="X364" s="15" t="s">
        <v>264</v>
      </c>
      <c r="Z364" s="59" t="str">
        <f>IF(OR($M364="",NOT($O364="{array}")),"",IFERROR(MATCH(PARAMETERS!$M364,DEFAULT!$B$5:$CI$5,0),""))</f>
        <v/>
      </c>
      <c r="AA364" s="56" t="str">
        <f t="shared" si="24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IF($AA364="","",IF($B364="I",VLOOKUP($AA364,#REF!,53,0),INDEX(VALUES!$B$1:$BF$1,1,$AA364)))</f>
        <v/>
      </c>
    </row>
    <row r="365" spans="1:29" outlineLevel="1" x14ac:dyDescent="0.3">
      <c r="A365" s="22"/>
      <c r="B365" s="41" t="str">
        <f t="shared" si="27"/>
        <v/>
      </c>
      <c r="C365" s="42">
        <f t="shared" si="28"/>
        <v>364</v>
      </c>
      <c r="D365" s="246" t="s">
        <v>9</v>
      </c>
      <c r="E365" s="38"/>
      <c r="F365" s="247" t="s">
        <v>9</v>
      </c>
      <c r="G365" s="208" t="s">
        <v>9</v>
      </c>
      <c r="H365" s="38"/>
      <c r="I365" s="38" t="s">
        <v>9</v>
      </c>
      <c r="J365" s="38"/>
      <c r="K365" s="14" t="s">
        <v>51</v>
      </c>
      <c r="L365" s="14" t="s">
        <v>27</v>
      </c>
      <c r="M365" s="151" t="s">
        <v>748</v>
      </c>
      <c r="N365" s="14" t="s">
        <v>749</v>
      </c>
      <c r="O365" s="43">
        <v>1</v>
      </c>
      <c r="R365" s="38" t="s">
        <v>104</v>
      </c>
      <c r="S365" s="38"/>
      <c r="T365" s="38"/>
      <c r="W365" s="15" t="s">
        <v>104</v>
      </c>
      <c r="X365" s="15" t="s">
        <v>264</v>
      </c>
      <c r="Z365" s="59" t="str">
        <f>IF(OR($M365="",NOT($O365="{array}")),"",IFERROR(MATCH(PARAMETERS!$M365,DEFAULT!$B$5:$CI$5,0),""))</f>
        <v/>
      </c>
      <c r="AA365" s="56" t="str">
        <f t="shared" si="24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IF($AA365="","",IF($B365="I",VLOOKUP($AA365,#REF!,53,0),INDEX(VALUES!$B$1:$BF$1,1,$AA365)))</f>
        <v/>
      </c>
    </row>
    <row r="366" spans="1:29" outlineLevel="1" x14ac:dyDescent="0.3">
      <c r="A366" s="22"/>
      <c r="B366" s="41" t="str">
        <f t="shared" si="27"/>
        <v/>
      </c>
      <c r="C366" s="42">
        <f t="shared" si="28"/>
        <v>365</v>
      </c>
      <c r="D366" s="246" t="s">
        <v>9</v>
      </c>
      <c r="E366" s="38"/>
      <c r="F366" s="247" t="s">
        <v>9</v>
      </c>
      <c r="G366" s="208" t="s">
        <v>9</v>
      </c>
      <c r="H366" s="38"/>
      <c r="I366" s="38" t="s">
        <v>9</v>
      </c>
      <c r="J366" s="38"/>
      <c r="K366" s="14" t="s">
        <v>51</v>
      </c>
      <c r="L366" s="14" t="s">
        <v>27</v>
      </c>
      <c r="M366" s="151" t="s">
        <v>750</v>
      </c>
      <c r="N366" s="14" t="s">
        <v>751</v>
      </c>
      <c r="O366" s="43">
        <v>4</v>
      </c>
      <c r="R366" s="38" t="s">
        <v>104</v>
      </c>
      <c r="S366" s="38"/>
      <c r="T366" s="38"/>
      <c r="W366" s="15" t="s">
        <v>104</v>
      </c>
      <c r="X366" s="15" t="s">
        <v>264</v>
      </c>
      <c r="Z366" s="59" t="str">
        <f>IF(OR($M366="",NOT($O366="{array}")),"",IFERROR(MATCH(PARAMETERS!$M366,DEFAULT!$B$5:$CI$5,0),""))</f>
        <v/>
      </c>
      <c r="AA366" s="56" t="str">
        <f t="shared" si="24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IF($AA366="","",IF($B366="I",VLOOKUP($AA366,#REF!,53,0),INDEX(VALUES!$B$1:$BF$1,1,$AA366)))</f>
        <v/>
      </c>
    </row>
    <row r="367" spans="1:29" outlineLevel="1" x14ac:dyDescent="0.3">
      <c r="A367" s="22"/>
      <c r="B367" s="41" t="str">
        <f>IF($A367="P",IF(NOT($Z367=""),"A",IF(NOT($AA367=""),"I","")),IF(NOT($AA367=""),IF($A367="G","V","X"),IF(NOT($Z367=""),"A","")))</f>
        <v/>
      </c>
      <c r="C367" s="42">
        <f t="shared" si="28"/>
        <v>366</v>
      </c>
      <c r="D367" s="246" t="s">
        <v>9</v>
      </c>
      <c r="E367" s="38"/>
      <c r="F367" s="247" t="s">
        <v>9</v>
      </c>
      <c r="G367" s="208" t="s">
        <v>9</v>
      </c>
      <c r="H367" s="38"/>
      <c r="I367" s="38" t="s">
        <v>9</v>
      </c>
      <c r="J367" s="38"/>
      <c r="K367" s="53" t="s">
        <v>44</v>
      </c>
      <c r="L367" s="53" t="s">
        <v>27</v>
      </c>
      <c r="M367" s="157" t="s">
        <v>879</v>
      </c>
      <c r="N367" s="53" t="s">
        <v>876</v>
      </c>
      <c r="O367" s="155">
        <v>1</v>
      </c>
      <c r="P367" s="53"/>
      <c r="Q367" s="208"/>
      <c r="R367" s="208" t="s">
        <v>195</v>
      </c>
      <c r="S367" s="38"/>
      <c r="T367" s="38"/>
      <c r="W367" s="15"/>
      <c r="X367" s="15" t="s">
        <v>264</v>
      </c>
      <c r="Z367" s="59" t="str">
        <f>IF(OR($M367="",NOT($O367="{array}")),"",IFERROR(MATCH(PARAMETERS!$M367,DEFAULT!$B$5:$CI$5,0),""))</f>
        <v/>
      </c>
      <c r="AA367" s="56" t="str">
        <f t="shared" si="24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IF($AA367="","",IF($B367="I",VLOOKUP($AA367,#REF!,53,0),INDEX(VALUES!$B$1:$BF$1,1,$AA367)))</f>
        <v/>
      </c>
    </row>
    <row r="368" spans="1:29" outlineLevel="1" x14ac:dyDescent="0.3">
      <c r="A368" s="22"/>
      <c r="B368" s="41" t="str">
        <f>IF($A368="P",IF(NOT($Z368=""),"A",IF(NOT($AA368=""),"I","")),IF(NOT($AA368=""),IF($A368="G","V","X"),IF(NOT($Z368=""),"A","")))</f>
        <v/>
      </c>
      <c r="C368" s="42">
        <f t="shared" si="28"/>
        <v>367</v>
      </c>
      <c r="D368" s="246" t="s">
        <v>9</v>
      </c>
      <c r="E368" s="38"/>
      <c r="F368" s="247" t="s">
        <v>9</v>
      </c>
      <c r="G368" s="208" t="s">
        <v>9</v>
      </c>
      <c r="H368" s="38"/>
      <c r="I368" s="38" t="s">
        <v>9</v>
      </c>
      <c r="J368" s="38"/>
      <c r="K368" s="53" t="s">
        <v>44</v>
      </c>
      <c r="L368" s="53" t="s">
        <v>27</v>
      </c>
      <c r="M368" s="157" t="s">
        <v>880</v>
      </c>
      <c r="N368" s="53" t="s">
        <v>877</v>
      </c>
      <c r="O368" s="155">
        <v>1</v>
      </c>
      <c r="P368" s="53"/>
      <c r="Q368" s="208"/>
      <c r="R368" s="208" t="s">
        <v>195</v>
      </c>
      <c r="S368" s="38"/>
      <c r="T368" s="38"/>
      <c r="W368" s="15"/>
      <c r="X368" s="15" t="s">
        <v>264</v>
      </c>
      <c r="Z368" s="59" t="str">
        <f>IF(OR($M368="",NOT($O368="{array}")),"",IFERROR(MATCH(PARAMETERS!$M368,DEFAULT!$B$5:$CI$5,0),""))</f>
        <v/>
      </c>
      <c r="AA368" s="56" t="str">
        <f t="shared" si="24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IF($AA368="","",IF($B368="I",VLOOKUP($AA368,#REF!,53,0),INDEX(VALUES!$B$1:$BF$1,1,$AA368)))</f>
        <v/>
      </c>
    </row>
    <row r="369" spans="1:29" outlineLevel="1" x14ac:dyDescent="0.3">
      <c r="A369" s="22"/>
      <c r="B369" s="41" t="str">
        <f>IF($A369="P",IF(NOT($Z369=""),"A",IF(NOT($AA369=""),"I","")),IF(NOT($AA369=""),IF($A369="G","V","X"),IF(NOT($Z369=""),"A","")))</f>
        <v/>
      </c>
      <c r="C369" s="42">
        <f t="shared" si="28"/>
        <v>368</v>
      </c>
      <c r="D369" s="246" t="s">
        <v>9</v>
      </c>
      <c r="E369" s="38"/>
      <c r="F369" s="247" t="s">
        <v>9</v>
      </c>
      <c r="G369" s="208" t="s">
        <v>9</v>
      </c>
      <c r="H369" s="38"/>
      <c r="I369" s="38" t="s">
        <v>9</v>
      </c>
      <c r="J369" s="38"/>
      <c r="K369" s="53" t="s">
        <v>44</v>
      </c>
      <c r="L369" s="53" t="s">
        <v>27</v>
      </c>
      <c r="M369" s="157" t="s">
        <v>881</v>
      </c>
      <c r="N369" s="53" t="s">
        <v>878</v>
      </c>
      <c r="O369" s="155">
        <v>2</v>
      </c>
      <c r="P369" s="53"/>
      <c r="Q369" s="208"/>
      <c r="R369" s="208" t="s">
        <v>195</v>
      </c>
      <c r="S369" s="38"/>
      <c r="T369" s="38"/>
      <c r="W369" s="15"/>
      <c r="X369" s="15" t="s">
        <v>264</v>
      </c>
      <c r="Z369" s="59" t="str">
        <f>IF(OR($M369="",NOT($O369="{array}")),"",IFERROR(MATCH(PARAMETERS!$M369,DEFAULT!$B$5:$CI$5,0),""))</f>
        <v/>
      </c>
      <c r="AA369" s="56" t="str">
        <f t="shared" si="24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IF($AA369="","",IF($B369="I",VLOOKUP($AA369,#REF!,53,0),INDEX(VALUES!$B$1:$BF$1,1,$AA369)))</f>
        <v/>
      </c>
    </row>
    <row r="370" spans="1:29" outlineLevel="1" x14ac:dyDescent="0.3">
      <c r="A370" s="22"/>
      <c r="B370" s="41" t="str">
        <f t="shared" si="27"/>
        <v/>
      </c>
      <c r="C370" s="42">
        <f t="shared" si="28"/>
        <v>369</v>
      </c>
      <c r="D370" s="246" t="s">
        <v>9</v>
      </c>
      <c r="E370" s="38"/>
      <c r="F370" s="247"/>
      <c r="G370" s="208" t="s">
        <v>9</v>
      </c>
      <c r="H370" s="38"/>
      <c r="I370" s="38" t="s">
        <v>9</v>
      </c>
      <c r="J370" s="38"/>
      <c r="K370" s="53" t="s">
        <v>44</v>
      </c>
      <c r="L370" s="53" t="s">
        <v>27</v>
      </c>
      <c r="M370" s="157" t="s">
        <v>1295</v>
      </c>
      <c r="N370" s="53" t="s">
        <v>1296</v>
      </c>
      <c r="O370" s="155">
        <v>0</v>
      </c>
      <c r="P370" s="53"/>
      <c r="Q370" s="208"/>
      <c r="R370" s="208" t="s">
        <v>195</v>
      </c>
      <c r="S370" s="38"/>
      <c r="T370" s="38"/>
      <c r="W370" s="15"/>
      <c r="X370" s="15" t="s">
        <v>264</v>
      </c>
      <c r="Z370" s="59" t="str">
        <f>IF(OR($M370="",NOT($O370="{array}")),"",IFERROR(MATCH(PARAMETERS!$M370,DEFAULT!$B$5:$CI$5,0),""))</f>
        <v/>
      </c>
      <c r="AA370" s="56" t="str">
        <f t="shared" si="24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IF($AA370="","",IF($B370="I",VLOOKUP($AA370,#REF!,53,0),INDEX(VALUES!$B$1:$BF$1,1,$AA370)))</f>
        <v/>
      </c>
    </row>
    <row r="371" spans="1:29" outlineLevel="1" x14ac:dyDescent="0.3">
      <c r="A371" s="22"/>
      <c r="B371" s="41" t="str">
        <f t="shared" si="27"/>
        <v/>
      </c>
      <c r="C371" s="42">
        <f t="shared" si="28"/>
        <v>370</v>
      </c>
      <c r="D371" s="246" t="s">
        <v>9</v>
      </c>
      <c r="E371" s="38"/>
      <c r="F371" s="247"/>
      <c r="G371" s="208" t="s">
        <v>9</v>
      </c>
      <c r="H371" s="38"/>
      <c r="I371" s="38" t="s">
        <v>9</v>
      </c>
      <c r="J371" s="38"/>
      <c r="K371" s="53" t="s">
        <v>44</v>
      </c>
      <c r="L371" s="53" t="s">
        <v>27</v>
      </c>
      <c r="M371" s="157" t="s">
        <v>1297</v>
      </c>
      <c r="N371" s="53" t="s">
        <v>1298</v>
      </c>
      <c r="O371" s="155">
        <v>0</v>
      </c>
      <c r="P371" s="53"/>
      <c r="Q371" s="208"/>
      <c r="R371" s="208" t="s">
        <v>195</v>
      </c>
      <c r="S371" s="38"/>
      <c r="T371" s="38"/>
      <c r="W371" s="15"/>
      <c r="X371" s="15" t="s">
        <v>264</v>
      </c>
      <c r="Z371" s="59" t="str">
        <f>IF(OR($M371="",NOT($O371="{array}")),"",IFERROR(MATCH(PARAMETERS!$M371,DEFAULT!$B$5:$CI$5,0),""))</f>
        <v/>
      </c>
      <c r="AA371" s="56" t="str">
        <f t="shared" si="24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IF($AA371="","",IF($B371="I",VLOOKUP($AA371,#REF!,53,0),INDEX(VALUES!$B$1:$BF$1,1,$AA371)))</f>
        <v/>
      </c>
    </row>
    <row r="372" spans="1:29" x14ac:dyDescent="0.3">
      <c r="A372" s="22" t="s">
        <v>84</v>
      </c>
      <c r="B372" s="41" t="str">
        <f t="shared" si="27"/>
        <v/>
      </c>
      <c r="C372" s="42">
        <f t="shared" si="28"/>
        <v>371</v>
      </c>
      <c r="D372" s="38"/>
      <c r="E372" s="38"/>
      <c r="F372" s="38" t="s">
        <v>9</v>
      </c>
      <c r="G372" s="38"/>
      <c r="H372" s="38"/>
      <c r="I372" s="38"/>
      <c r="J372" s="38"/>
      <c r="K372" s="14" t="s">
        <v>57</v>
      </c>
      <c r="L372" s="14" t="s">
        <v>38</v>
      </c>
      <c r="M372" s="48" t="s">
        <v>191</v>
      </c>
      <c r="N372" s="41" t="s">
        <v>192</v>
      </c>
      <c r="R372" s="38" t="s">
        <v>104</v>
      </c>
      <c r="S372" s="38"/>
      <c r="T372" s="38"/>
      <c r="W372" s="15"/>
      <c r="Z372" s="59" t="str">
        <f>IF(OR($M372="",NOT($O372="{array}")),"",IFERROR(MATCH(PARAMETERS!$M372,DEFAULT!$B$5:$CI$5,0),""))</f>
        <v/>
      </c>
      <c r="AA372" s="56" t="str">
        <f t="shared" si="24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IF($AA372="","",IF($B372="I",VLOOKUP($AA372,#REF!,53,0),INDEX(VALUES!$B$1:$BF$1,1,$AA372)))</f>
        <v/>
      </c>
    </row>
    <row r="373" spans="1:29" outlineLevel="1" x14ac:dyDescent="0.3">
      <c r="A373" s="22" t="s">
        <v>84</v>
      </c>
      <c r="B373" s="41" t="str">
        <f t="shared" si="27"/>
        <v>A</v>
      </c>
      <c r="C373" s="42">
        <f t="shared" si="28"/>
        <v>372</v>
      </c>
      <c r="D373" s="38"/>
      <c r="E373" s="38"/>
      <c r="F373" s="38"/>
      <c r="G373" s="38"/>
      <c r="H373" s="38"/>
      <c r="I373" s="38" t="s">
        <v>9</v>
      </c>
      <c r="J373" s="38"/>
      <c r="K373" s="14" t="s">
        <v>52</v>
      </c>
      <c r="L373" s="14" t="s">
        <v>27</v>
      </c>
      <c r="M373" s="151" t="s">
        <v>193</v>
      </c>
      <c r="N373" s="14" t="s">
        <v>194</v>
      </c>
      <c r="O373" s="43" t="s">
        <v>33</v>
      </c>
      <c r="R373" s="38" t="s">
        <v>195</v>
      </c>
      <c r="S373" s="38"/>
      <c r="T373" s="38"/>
      <c r="W373" s="15"/>
      <c r="Z373" s="59">
        <f>IF(OR($M373="",NOT($O373="{array}")),"",IFERROR(MATCH(PARAMETERS!$M373,DEFAULT!$B$5:$CI$5,0),""))</f>
        <v>81</v>
      </c>
      <c r="AA373" s="56" t="str">
        <f t="shared" si="24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IF($AA373="","",IF($B373="I",VLOOKUP($AA373,#REF!,53,0),INDEX(VALUES!$B$1:$BF$1,1,$AA373)))</f>
        <v/>
      </c>
    </row>
    <row r="374" spans="1:29" x14ac:dyDescent="0.3">
      <c r="A374" s="22" t="s">
        <v>84</v>
      </c>
      <c r="B374" s="41" t="str">
        <f t="shared" si="27"/>
        <v/>
      </c>
      <c r="C374" s="42">
        <f t="shared" si="28"/>
        <v>373</v>
      </c>
      <c r="D374" s="38"/>
      <c r="E374" s="38"/>
      <c r="F374" s="38" t="s">
        <v>9</v>
      </c>
      <c r="G374" s="38"/>
      <c r="H374" s="38"/>
      <c r="I374" s="38"/>
      <c r="J374" s="38"/>
      <c r="K374" s="14" t="s">
        <v>57</v>
      </c>
      <c r="L374" s="14" t="s">
        <v>38</v>
      </c>
      <c r="M374" s="48" t="s">
        <v>196</v>
      </c>
      <c r="N374" s="41" t="s">
        <v>197</v>
      </c>
      <c r="R374" s="38" t="s">
        <v>104</v>
      </c>
      <c r="S374" s="38"/>
      <c r="T374" s="38"/>
      <c r="W374" s="15"/>
      <c r="Z374" s="59" t="str">
        <f>IF(OR($M374="",NOT($O374="{array}")),"",IFERROR(MATCH(PARAMETERS!$M374,DEFAULT!$B$5:$CI$5,0),""))</f>
        <v/>
      </c>
      <c r="AA374" s="56" t="str">
        <f t="shared" si="24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IF($AA374="","",IF($B374="I",VLOOKUP($AA374,#REF!,53,0),INDEX(VALUES!$B$1:$BF$1,1,$AA374)))</f>
        <v/>
      </c>
    </row>
    <row r="375" spans="1:29" outlineLevel="1" x14ac:dyDescent="0.3">
      <c r="A375" s="22" t="s">
        <v>84</v>
      </c>
      <c r="B375" s="41" t="str">
        <f t="shared" si="27"/>
        <v>A</v>
      </c>
      <c r="C375" s="42">
        <f t="shared" si="28"/>
        <v>374</v>
      </c>
      <c r="D375" s="38"/>
      <c r="E375" s="38"/>
      <c r="F375" s="38"/>
      <c r="G375" s="38"/>
      <c r="H375" s="38"/>
      <c r="I375" s="38" t="s">
        <v>9</v>
      </c>
      <c r="J375" s="38"/>
      <c r="K375" s="14" t="s">
        <v>53</v>
      </c>
      <c r="L375" s="14" t="s">
        <v>27</v>
      </c>
      <c r="M375" s="151" t="s">
        <v>198</v>
      </c>
      <c r="N375" s="14" t="s">
        <v>199</v>
      </c>
      <c r="O375" s="43" t="s">
        <v>33</v>
      </c>
      <c r="R375" s="38" t="s">
        <v>195</v>
      </c>
      <c r="S375" s="38"/>
      <c r="T375" s="38"/>
      <c r="W375" s="15"/>
      <c r="Z375" s="59">
        <f>IF(OR($M375="",NOT($O375="{array}")),"",IFERROR(MATCH(PARAMETERS!$M375,DEFAULT!$B$5:$CI$5,0),""))</f>
        <v>75</v>
      </c>
      <c r="AA375" s="56" t="str">
        <f t="shared" si="24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IF($AA375="","",IF($B375="I",VLOOKUP($AA375,#REF!,53,0),INDEX(VALUES!$B$1:$BF$1,1,$AA375)))</f>
        <v/>
      </c>
    </row>
    <row r="376" spans="1:29" outlineLevel="1" x14ac:dyDescent="0.3">
      <c r="A376" s="22" t="s">
        <v>84</v>
      </c>
      <c r="B376" s="41" t="str">
        <f t="shared" si="27"/>
        <v>A</v>
      </c>
      <c r="C376" s="42">
        <f t="shared" si="28"/>
        <v>375</v>
      </c>
      <c r="D376" s="38"/>
      <c r="E376" s="38"/>
      <c r="F376" s="38"/>
      <c r="G376" s="38"/>
      <c r="H376" s="38"/>
      <c r="I376" s="38" t="s">
        <v>9</v>
      </c>
      <c r="J376" s="38"/>
      <c r="K376" s="14" t="s">
        <v>53</v>
      </c>
      <c r="L376" s="14" t="s">
        <v>27</v>
      </c>
      <c r="M376" s="151" t="s">
        <v>200</v>
      </c>
      <c r="N376" s="14" t="s">
        <v>201</v>
      </c>
      <c r="O376" s="43" t="s">
        <v>33</v>
      </c>
      <c r="R376" s="38" t="s">
        <v>195</v>
      </c>
      <c r="S376" s="38"/>
      <c r="T376" s="38"/>
      <c r="W376" s="15"/>
      <c r="Z376" s="59">
        <f>IF(OR($M376="",NOT($O376="{array}")),"",IFERROR(MATCH(PARAMETERS!$M376,DEFAULT!$B$5:$CI$5,0),""))</f>
        <v>77</v>
      </c>
      <c r="AA376" s="56" t="str">
        <f t="shared" si="24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IF($AA376="","",IF($B376="I",VLOOKUP($AA376,#REF!,53,0),INDEX(VALUES!$B$1:$BF$1,1,$AA376)))</f>
        <v/>
      </c>
    </row>
    <row r="377" spans="1:29" outlineLevel="1" x14ac:dyDescent="0.3">
      <c r="A377" s="22" t="s">
        <v>84</v>
      </c>
      <c r="B377" s="41" t="str">
        <f t="shared" si="27"/>
        <v>A</v>
      </c>
      <c r="C377" s="42">
        <f t="shared" si="28"/>
        <v>376</v>
      </c>
      <c r="D377" s="38"/>
      <c r="E377" s="38"/>
      <c r="F377" s="38"/>
      <c r="G377" s="38"/>
      <c r="H377" s="38"/>
      <c r="I377" s="38" t="s">
        <v>9</v>
      </c>
      <c r="J377" s="38"/>
      <c r="K377" s="14" t="s">
        <v>53</v>
      </c>
      <c r="L377" s="14" t="s">
        <v>27</v>
      </c>
      <c r="M377" s="151" t="s">
        <v>202</v>
      </c>
      <c r="N377" s="14" t="s">
        <v>203</v>
      </c>
      <c r="O377" s="43" t="s">
        <v>33</v>
      </c>
      <c r="R377" s="38" t="s">
        <v>195</v>
      </c>
      <c r="S377" s="38"/>
      <c r="T377" s="38"/>
      <c r="W377" s="15"/>
      <c r="Z377" s="59">
        <f>IF(OR($M377="",NOT($O377="{array}")),"",IFERROR(MATCH(PARAMETERS!$M377,DEFAULT!$B$5:$CI$5,0),""))</f>
        <v>79</v>
      </c>
      <c r="AA377" s="56" t="str">
        <f t="shared" si="24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IF($AA377="","",IF($B377="I",VLOOKUP($AA377,#REF!,53,0),INDEX(VALUES!$B$1:$BF$1,1,$AA377)))</f>
        <v/>
      </c>
    </row>
    <row r="378" spans="1:29" x14ac:dyDescent="0.3">
      <c r="A378" s="22" t="s">
        <v>84</v>
      </c>
      <c r="B378" s="41" t="str">
        <f t="shared" si="27"/>
        <v/>
      </c>
      <c r="C378" s="42">
        <f t="shared" si="28"/>
        <v>377</v>
      </c>
      <c r="D378" s="38"/>
      <c r="E378" s="38"/>
      <c r="F378" s="38"/>
      <c r="G378" s="38"/>
      <c r="H378" s="38"/>
      <c r="I378" s="38"/>
      <c r="J378" s="38"/>
      <c r="K378" s="14" t="s">
        <v>57</v>
      </c>
      <c r="L378" s="14" t="s">
        <v>38</v>
      </c>
      <c r="M378" s="48" t="s">
        <v>1042</v>
      </c>
      <c r="N378" s="41" t="s">
        <v>1043</v>
      </c>
      <c r="R378" s="38" t="s">
        <v>104</v>
      </c>
      <c r="S378" s="38"/>
      <c r="T378" s="38"/>
      <c r="Z378" s="59" t="str">
        <f>IF(OR($M378="",NOT($O378="{array}")),"",IFERROR(MATCH(PARAMETERS!$M378,DEFAULT!$B$5:$CI$5,0),""))</f>
        <v/>
      </c>
      <c r="AA378" s="56" t="str">
        <f t="shared" si="24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IF($AA378="","",IF($B378="I",VLOOKUP($AA378,#REF!,53,0),INDEX(VALUES!$B$1:$BF$1,1,$AA378)))</f>
        <v/>
      </c>
    </row>
    <row r="379" spans="1:29" x14ac:dyDescent="0.3">
      <c r="A379" s="22" t="s">
        <v>84</v>
      </c>
      <c r="B379" s="41" t="str">
        <f t="shared" si="27"/>
        <v>A</v>
      </c>
      <c r="C379" s="42">
        <f t="shared" si="28"/>
        <v>378</v>
      </c>
      <c r="D379" s="38"/>
      <c r="E379" s="38"/>
      <c r="F379" s="38"/>
      <c r="G379" s="38"/>
      <c r="H379" s="38"/>
      <c r="I379" s="38" t="s">
        <v>9</v>
      </c>
      <c r="J379" s="38"/>
      <c r="K379" s="14" t="s">
        <v>51</v>
      </c>
      <c r="L379" s="14" t="s">
        <v>27</v>
      </c>
      <c r="M379" s="151" t="s">
        <v>1040</v>
      </c>
      <c r="N379" s="14" t="s">
        <v>1044</v>
      </c>
      <c r="O379" s="43" t="s">
        <v>33</v>
      </c>
      <c r="R379" s="38" t="s">
        <v>195</v>
      </c>
      <c r="S379" s="38"/>
      <c r="T379" s="38"/>
      <c r="Z379" s="59">
        <f>IF(OR($M379="",NOT($O379="{array}")),"",IFERROR(MATCH(PARAMETERS!$M379,DEFAULT!$B$5:$CI$5,0),""))</f>
        <v>83</v>
      </c>
      <c r="AA379" s="56" t="str">
        <f t="shared" si="24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IF($AA379="","",IF($B379="I",VLOOKUP($AA379,#REF!,53,0),INDEX(VALUES!$B$1:$BF$1,1,$AA379)))</f>
        <v/>
      </c>
    </row>
    <row r="380" spans="1:29" outlineLevel="1" x14ac:dyDescent="0.3">
      <c r="A380" s="22"/>
      <c r="B380" s="41" t="str">
        <f>IF($A380="P",IF(NOT($Z380=""),"A",IF(NOT($AA380=""),"I","")),IF(NOT($AA380=""),IF($A380="G","V","X"),IF(NOT($Z380=""),"A","")))</f>
        <v/>
      </c>
      <c r="C380" s="42">
        <f>(ROW()-1)</f>
        <v>379</v>
      </c>
      <c r="D380" s="38"/>
      <c r="E380" s="38"/>
      <c r="F380" s="38" t="s">
        <v>9</v>
      </c>
      <c r="G380" s="38"/>
      <c r="H380" s="38"/>
      <c r="I380" s="38"/>
      <c r="J380" s="38"/>
      <c r="K380" s="14" t="s">
        <v>57</v>
      </c>
      <c r="L380" s="14" t="s">
        <v>38</v>
      </c>
      <c r="M380" s="48" t="s">
        <v>204</v>
      </c>
      <c r="N380" s="41" t="s">
        <v>205</v>
      </c>
      <c r="R380" s="38" t="s">
        <v>104</v>
      </c>
      <c r="S380" s="38"/>
      <c r="T380" s="38"/>
      <c r="W380" s="15"/>
      <c r="Z380" s="59" t="str">
        <f>IF(OR($M380="",NOT($O380="{array}")),"",IFERROR(MATCH(PARAMETERS!$M380,DEFAULT!$B$5:$CI$5,0),""))</f>
        <v/>
      </c>
      <c r="AA380" s="56" t="str">
        <f t="shared" si="24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IF($AA380="","",IF($B380="I",VLOOKUP($AA380,#REF!,53,0),INDEX(VALUES!$B$1:$BF$1,1,$AA380)))</f>
        <v/>
      </c>
    </row>
    <row r="381" spans="1:29" outlineLevel="1" x14ac:dyDescent="0.3">
      <c r="A381" s="22" t="s">
        <v>84</v>
      </c>
      <c r="B381" s="41" t="str">
        <f>IF($A381="P",IF(NOT($Z381=""),"A",IF(NOT($AA381=""),"I","")),IF(NOT($AA381=""),IF($A381="G","V","X"),IF(NOT($Z381=""),"A","")))</f>
        <v>A</v>
      </c>
      <c r="C381" s="42">
        <f>(ROW()-1)</f>
        <v>380</v>
      </c>
      <c r="D381" s="38"/>
      <c r="E381" s="38"/>
      <c r="F381" s="38"/>
      <c r="G381" s="38"/>
      <c r="H381" s="38"/>
      <c r="I381" s="38" t="s">
        <v>9</v>
      </c>
      <c r="J381" s="38"/>
      <c r="K381" s="14" t="s">
        <v>50</v>
      </c>
      <c r="L381" s="14" t="s">
        <v>27</v>
      </c>
      <c r="M381" s="151" t="s">
        <v>206</v>
      </c>
      <c r="N381" s="14" t="s">
        <v>207</v>
      </c>
      <c r="O381" s="43" t="s">
        <v>33</v>
      </c>
      <c r="R381" s="38" t="s">
        <v>195</v>
      </c>
      <c r="S381" s="38"/>
      <c r="T381" s="38"/>
      <c r="W381" s="15"/>
      <c r="Z381" s="59">
        <f>IF(OR($M381="",NOT($O381="{array}")),"",IFERROR(MATCH(PARAMETERS!$M381,DEFAULT!$B$5:$CI$5,0),""))</f>
        <v>85</v>
      </c>
      <c r="AA381" s="56" t="str">
        <f t="shared" si="24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IF($AA381="","",IF($B381="I",VLOOKUP($AA381,#REF!,53,0),INDEX(VALUES!$B$1:$BF$1,1,$AA381)))</f>
        <v/>
      </c>
    </row>
    <row r="382" spans="1:29" outlineLevel="1" x14ac:dyDescent="0.3">
      <c r="A382" s="22" t="s">
        <v>84</v>
      </c>
      <c r="B382" s="41" t="str">
        <f>IF($A382="P",IF(NOT($Z382=""),"A",IF(NOT($AA382=""),"I","")),IF(NOT($AA382=""),IF($A382="G","V","X"),IF(NOT($Z382=""),"A","")))</f>
        <v/>
      </c>
      <c r="C382" s="42">
        <f>(ROW()-1)</f>
        <v>381</v>
      </c>
      <c r="D382" s="38"/>
      <c r="E382" s="38"/>
      <c r="F382" s="38"/>
      <c r="G382" s="38"/>
      <c r="H382" s="38"/>
      <c r="I382" s="38" t="s">
        <v>9</v>
      </c>
      <c r="J382" s="38"/>
      <c r="K382" s="14" t="s">
        <v>50</v>
      </c>
      <c r="L382" s="14" t="s">
        <v>27</v>
      </c>
      <c r="M382" s="151" t="s">
        <v>941</v>
      </c>
      <c r="N382" s="14" t="s">
        <v>1292</v>
      </c>
      <c r="O382" s="43">
        <v>1</v>
      </c>
      <c r="R382" s="38" t="s">
        <v>195</v>
      </c>
      <c r="S382" s="38"/>
      <c r="T382" s="38"/>
      <c r="W382" s="15"/>
      <c r="Z382" s="59" t="str">
        <f>IF(OR($M382="",NOT($O382="{array}")),"",IFERROR(MATCH(PARAMETERS!$M382,DEFAULT!$B$5:$CI$5,0),""))</f>
        <v/>
      </c>
      <c r="AA382" s="56" t="str">
        <f t="shared" si="24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IF($AA382="","",IF($B382="I",VLOOKUP($AA382,#REF!,53,0),INDEX(VALUES!$B$1:$BF$1,1,$AA382)))</f>
        <v/>
      </c>
    </row>
    <row r="383" spans="1:29" x14ac:dyDescent="0.3">
      <c r="A383" s="22" t="s">
        <v>208</v>
      </c>
      <c r="B383" s="41"/>
      <c r="C383" s="42"/>
      <c r="D383" s="38"/>
      <c r="E383" s="38"/>
      <c r="F383" s="38"/>
      <c r="G383" s="38"/>
      <c r="H383" s="38"/>
      <c r="I383" s="38"/>
      <c r="J383" s="38"/>
      <c r="L383" s="152"/>
      <c r="M383" s="14"/>
      <c r="R383" s="38"/>
      <c r="S383" s="38"/>
      <c r="T383" s="38"/>
      <c r="W383" s="15"/>
      <c r="Z383" s="59" t="str">
        <f>IF(OR($M383="",NOT($O383="{array}")),"",IFERROR(MATCH(PARAMETERS!$M383,DEFAULT!$B$5:$CI$5,0),""))</f>
        <v/>
      </c>
      <c r="AA383" s="56" t="str">
        <f t="shared" si="24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IF($AA383="","",IF($B383="I",VLOOKUP($AA383,#REF!,53,0),INDEX(VALUES!$B$1:$BF$1,1,$AA383)))</f>
        <v/>
      </c>
    </row>
    <row r="384" spans="1:29" x14ac:dyDescent="0.3">
      <c r="A384" s="22" t="s">
        <v>84</v>
      </c>
      <c r="B384" s="41" t="str">
        <f t="shared" ref="B384:B409" si="29">IF($A384="P",IF(NOT($Z384=""),"A",IF(NOT($AA384=""),"I","")),IF(NOT($AA384=""),IF($A384="G","V","X"),IF(NOT($Z384=""),"A","")))</f>
        <v/>
      </c>
      <c r="C384" s="42">
        <f t="shared" ref="C384:C415" si="30">(ROW()-1)</f>
        <v>383</v>
      </c>
      <c r="D384" s="38"/>
      <c r="E384" s="38"/>
      <c r="F384" s="38"/>
      <c r="G384" s="38"/>
      <c r="H384" s="38"/>
      <c r="I384" s="38"/>
      <c r="J384" s="38"/>
      <c r="K384" s="53" t="s">
        <v>57</v>
      </c>
      <c r="L384" s="53" t="s">
        <v>38</v>
      </c>
      <c r="M384" s="153" t="s">
        <v>209</v>
      </c>
      <c r="N384" s="154" t="s">
        <v>210</v>
      </c>
      <c r="O384" s="155"/>
      <c r="R384" s="38" t="s">
        <v>195</v>
      </c>
      <c r="S384" s="38"/>
      <c r="T384" s="38"/>
      <c r="W384" s="15"/>
      <c r="Z384" s="59" t="str">
        <f>IF(OR($M384="",NOT($O384="{array}")),"",IFERROR(MATCH(PARAMETERS!$M384,DEFAULT!$B$5:$CI$5,0),""))</f>
        <v/>
      </c>
      <c r="AA384" s="56" t="str">
        <f t="shared" ref="AA384:AA405" si="31">IF($M384="","",IFERROR(MATCH($M384,VALUESnames,0),""))</f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IF($AA384="","",IF($B384="I",VLOOKUP($AA384,#REF!,53,0),INDEX(VALUES!$B$1:$BF$1,1,$AA384)))</f>
        <v/>
      </c>
    </row>
    <row r="385" spans="1:29" outlineLevel="1" x14ac:dyDescent="0.3">
      <c r="A385" s="22" t="s">
        <v>84</v>
      </c>
      <c r="B385" s="41" t="str">
        <f t="shared" si="29"/>
        <v/>
      </c>
      <c r="C385" s="42">
        <f t="shared" si="30"/>
        <v>384</v>
      </c>
      <c r="D385" s="38"/>
      <c r="E385" s="38"/>
      <c r="F385" s="38"/>
      <c r="G385" s="38"/>
      <c r="H385" s="38"/>
      <c r="I385" s="38" t="s">
        <v>9</v>
      </c>
      <c r="J385" s="38"/>
      <c r="K385" s="53" t="s">
        <v>44</v>
      </c>
      <c r="L385" s="53" t="s">
        <v>32</v>
      </c>
      <c r="M385" s="156" t="s">
        <v>211</v>
      </c>
      <c r="N385" s="53" t="s">
        <v>212</v>
      </c>
      <c r="O385" s="155">
        <v>1</v>
      </c>
      <c r="R385" s="38" t="s">
        <v>195</v>
      </c>
      <c r="S385" s="38"/>
      <c r="T385" s="38"/>
      <c r="W385" s="15"/>
      <c r="Z385" s="59" t="str">
        <f>IF(OR($M385="",NOT($O385="{array}")),"",IFERROR(MATCH(PARAMETERS!$M385,DEFAULT!$B$5:$CI$5,0),""))</f>
        <v/>
      </c>
      <c r="AA385" s="56" t="str">
        <f t="shared" si="31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IF($AA385="","",IF($B385="I",VLOOKUP($AA385,#REF!,53,0),INDEX(VALUES!$B$1:$BF$1,1,$AA385)))</f>
        <v/>
      </c>
    </row>
    <row r="386" spans="1:29" outlineLevel="1" x14ac:dyDescent="0.3">
      <c r="A386" s="22" t="s">
        <v>84</v>
      </c>
      <c r="B386" s="41" t="str">
        <f t="shared" si="29"/>
        <v/>
      </c>
      <c r="C386" s="42">
        <f t="shared" si="30"/>
        <v>385</v>
      </c>
      <c r="D386" s="38"/>
      <c r="E386" s="38"/>
      <c r="F386" s="38"/>
      <c r="G386" s="38"/>
      <c r="H386" s="38"/>
      <c r="I386" s="38" t="s">
        <v>9</v>
      </c>
      <c r="J386" s="38"/>
      <c r="K386" s="53" t="s">
        <v>44</v>
      </c>
      <c r="L386" s="53" t="s">
        <v>32</v>
      </c>
      <c r="M386" s="156" t="s">
        <v>213</v>
      </c>
      <c r="N386" s="53" t="s">
        <v>214</v>
      </c>
      <c r="O386" s="155">
        <v>0</v>
      </c>
      <c r="R386" s="38" t="s">
        <v>195</v>
      </c>
      <c r="S386" s="38"/>
      <c r="T386" s="38"/>
      <c r="W386" s="15"/>
      <c r="Z386" s="59" t="str">
        <f>IF(OR($M386="",NOT($O386="{array}")),"",IFERROR(MATCH(PARAMETERS!$M386,DEFAULT!$B$5:$CI$5,0),""))</f>
        <v/>
      </c>
      <c r="AA386" s="56" t="str">
        <f t="shared" si="31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IF($AA386="","",IF($B386="I",VLOOKUP($AA386,#REF!,53,0),INDEX(VALUES!$B$1:$BF$1,1,$AA386)))</f>
        <v/>
      </c>
    </row>
    <row r="387" spans="1:29" outlineLevel="1" x14ac:dyDescent="0.3">
      <c r="A387" s="22" t="s">
        <v>84</v>
      </c>
      <c r="B387" s="41" t="str">
        <f t="shared" si="29"/>
        <v/>
      </c>
      <c r="C387" s="42">
        <f>(ROW()-1)</f>
        <v>386</v>
      </c>
      <c r="D387" s="38"/>
      <c r="E387" s="38"/>
      <c r="F387" s="38"/>
      <c r="G387" s="38"/>
      <c r="H387" s="38"/>
      <c r="I387" s="38" t="s">
        <v>9</v>
      </c>
      <c r="J387" s="38"/>
      <c r="K387" s="53" t="s">
        <v>47</v>
      </c>
      <c r="L387" s="53" t="s">
        <v>32</v>
      </c>
      <c r="M387" s="156" t="s">
        <v>1290</v>
      </c>
      <c r="N387" s="53" t="s">
        <v>1291</v>
      </c>
      <c r="O387" s="155">
        <v>1</v>
      </c>
      <c r="R387" s="38" t="s">
        <v>195</v>
      </c>
      <c r="S387" s="38"/>
      <c r="T387" s="38"/>
      <c r="W387" s="15"/>
      <c r="Z387" s="59" t="str">
        <f>IF(OR($M387="",NOT($O387="{array}")),"",IFERROR(MATCH(PARAMETERS!$M387,DEFAULT!$B$5:$CI$5,0),""))</f>
        <v/>
      </c>
      <c r="AA387" s="56" t="str">
        <f t="shared" si="31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IF($AA387="","",IF($B387="I",VLOOKUP($AA387,#REF!,53,0),INDEX(VALUES!$B$1:$BF$1,1,$AA387)))</f>
        <v/>
      </c>
    </row>
    <row r="388" spans="1:29" x14ac:dyDescent="0.3">
      <c r="A388" s="22" t="s">
        <v>84</v>
      </c>
      <c r="B388" s="41" t="str">
        <f t="shared" si="29"/>
        <v/>
      </c>
      <c r="C388" s="42">
        <f t="shared" si="30"/>
        <v>387</v>
      </c>
      <c r="D388" s="38"/>
      <c r="E388" s="38"/>
      <c r="F388" s="38"/>
      <c r="G388" s="38" t="s">
        <v>9</v>
      </c>
      <c r="H388" s="38"/>
      <c r="I388" s="38"/>
      <c r="J388" s="38"/>
      <c r="K388" s="53" t="s">
        <v>57</v>
      </c>
      <c r="L388" s="53" t="s">
        <v>38</v>
      </c>
      <c r="M388" s="153" t="s">
        <v>1027</v>
      </c>
      <c r="N388" s="154" t="s">
        <v>1028</v>
      </c>
      <c r="O388" s="155"/>
      <c r="R388" s="38" t="s">
        <v>195</v>
      </c>
      <c r="S388" s="38"/>
      <c r="T388" s="38"/>
      <c r="W388" s="15"/>
      <c r="Z388" s="59" t="str">
        <f>IF(OR($M388="",NOT($O388="{array}")),"",IFERROR(MATCH(PARAMETERS!$M388,DEFAULT!$B$5:$CI$5,0),""))</f>
        <v/>
      </c>
      <c r="AA388" s="56" t="str">
        <f t="shared" si="31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IF($AA388="","",IF($B388="I",VLOOKUP($AA388,#REF!,53,0),INDEX(VALUES!$B$1:$BF$1,1,$AA388)))</f>
        <v/>
      </c>
    </row>
    <row r="389" spans="1:29" outlineLevel="1" x14ac:dyDescent="0.3">
      <c r="A389" s="22" t="s">
        <v>84</v>
      </c>
      <c r="B389" s="41" t="str">
        <f t="shared" si="29"/>
        <v/>
      </c>
      <c r="C389" s="42">
        <f t="shared" si="30"/>
        <v>388</v>
      </c>
      <c r="D389" s="38"/>
      <c r="E389" s="38"/>
      <c r="F389" s="38"/>
      <c r="G389" s="38" t="s">
        <v>9</v>
      </c>
      <c r="H389" s="38"/>
      <c r="I389" s="38" t="s">
        <v>9</v>
      </c>
      <c r="J389" s="38"/>
      <c r="K389" s="53" t="s">
        <v>18</v>
      </c>
      <c r="L389" s="53" t="s">
        <v>32</v>
      </c>
      <c r="M389" s="156" t="s">
        <v>1029</v>
      </c>
      <c r="N389" s="53" t="s">
        <v>1030</v>
      </c>
      <c r="O389" s="155" t="s">
        <v>215</v>
      </c>
      <c r="R389" s="38" t="s">
        <v>195</v>
      </c>
      <c r="S389" s="38"/>
      <c r="T389" s="38"/>
      <c r="Z389" s="59" t="str">
        <f>IF(OR($M389="",NOT($O389="{array}")),"",IFERROR(MATCH(PARAMETERS!$M389,DEFAULT!$B$5:$CI$5,0),""))</f>
        <v/>
      </c>
      <c r="AA389" s="56" t="str">
        <f t="shared" si="31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IF($AA389="","",IF($B389="I",VLOOKUP($AA389,#REF!,53,0),INDEX(VALUES!$B$1:$BF$1,1,$AA389)))</f>
        <v/>
      </c>
    </row>
    <row r="390" spans="1:29" outlineLevel="1" x14ac:dyDescent="0.3">
      <c r="A390" s="22" t="s">
        <v>84</v>
      </c>
      <c r="B390" s="41" t="str">
        <f t="shared" si="29"/>
        <v/>
      </c>
      <c r="C390" s="42">
        <f t="shared" si="30"/>
        <v>389</v>
      </c>
      <c r="D390" s="38"/>
      <c r="E390" s="38"/>
      <c r="F390" s="38"/>
      <c r="G390" s="38" t="s">
        <v>9</v>
      </c>
      <c r="H390" s="38"/>
      <c r="I390" s="38" t="s">
        <v>9</v>
      </c>
      <c r="J390" s="38"/>
      <c r="K390" s="53" t="s">
        <v>18</v>
      </c>
      <c r="L390" s="53" t="s">
        <v>32</v>
      </c>
      <c r="M390" s="156" t="s">
        <v>1031</v>
      </c>
      <c r="N390" s="53" t="s">
        <v>1032</v>
      </c>
      <c r="O390" s="155" t="s">
        <v>1379</v>
      </c>
      <c r="R390" s="38" t="s">
        <v>195</v>
      </c>
      <c r="S390" s="38"/>
      <c r="T390" s="38"/>
      <c r="Z390" s="59" t="str">
        <f>IF(OR($M390="",NOT($O390="{array}")),"",IFERROR(MATCH(PARAMETERS!$M390,DEFAULT!$B$5:$CI$5,0),""))</f>
        <v/>
      </c>
      <c r="AA390" s="56" t="str">
        <f t="shared" si="31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IF($AA390="","",IF($B390="I",VLOOKUP($AA390,#REF!,53,0),INDEX(VALUES!$B$1:$BF$1,1,$AA390)))</f>
        <v/>
      </c>
    </row>
    <row r="391" spans="1:29" x14ac:dyDescent="0.3">
      <c r="A391" s="22" t="s">
        <v>84</v>
      </c>
      <c r="B391" s="41" t="str">
        <f t="shared" si="29"/>
        <v/>
      </c>
      <c r="C391" s="42">
        <f t="shared" si="30"/>
        <v>390</v>
      </c>
      <c r="D391" s="38"/>
      <c r="E391" s="38"/>
      <c r="F391" s="38" t="s">
        <v>9</v>
      </c>
      <c r="G391" s="38" t="s">
        <v>9</v>
      </c>
      <c r="H391" s="38"/>
      <c r="I391" s="38"/>
      <c r="J391" s="38"/>
      <c r="K391" s="14" t="s">
        <v>57</v>
      </c>
      <c r="L391" s="14" t="s">
        <v>38</v>
      </c>
      <c r="M391" s="48" t="s">
        <v>216</v>
      </c>
      <c r="N391" s="41" t="s">
        <v>217</v>
      </c>
      <c r="R391" s="38" t="s">
        <v>104</v>
      </c>
      <c r="S391" s="38"/>
      <c r="T391" s="38"/>
      <c r="W391" s="15"/>
      <c r="Z391" s="59" t="str">
        <f>IF(OR($M391="",NOT($O391="{array}")),"",IFERROR(MATCH(PARAMETERS!$M391,DEFAULT!$B$5:$CI$5,0),""))</f>
        <v/>
      </c>
      <c r="AA391" s="56" t="str">
        <f t="shared" si="31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IF($AA391="","",IF($B391="I",VLOOKUP($AA391,#REF!,53,0),INDEX(VALUES!$B$1:$BF$1,1,$AA391)))</f>
        <v/>
      </c>
    </row>
    <row r="392" spans="1:29" outlineLevel="1" x14ac:dyDescent="0.3">
      <c r="A392" s="22"/>
      <c r="B392" s="41" t="str">
        <f t="shared" si="29"/>
        <v/>
      </c>
      <c r="C392" s="42">
        <f t="shared" si="30"/>
        <v>391</v>
      </c>
      <c r="D392" s="38"/>
      <c r="E392" s="38"/>
      <c r="F392" s="38"/>
      <c r="G392" s="38" t="s">
        <v>9</v>
      </c>
      <c r="H392" s="38"/>
      <c r="I392" s="38" t="s">
        <v>9</v>
      </c>
      <c r="J392" s="38"/>
      <c r="K392" s="14" t="s">
        <v>18</v>
      </c>
      <c r="L392" s="14" t="s">
        <v>38</v>
      </c>
      <c r="M392" s="20" t="s">
        <v>218</v>
      </c>
      <c r="N392" s="14" t="s">
        <v>219</v>
      </c>
      <c r="O392" s="43" t="s">
        <v>220</v>
      </c>
      <c r="R392" s="38" t="s">
        <v>104</v>
      </c>
      <c r="S392" s="38"/>
      <c r="T392" s="38"/>
      <c r="W392" s="15"/>
      <c r="Z392" s="59" t="str">
        <f>IF(OR($M392="",NOT($O392="{array}")),"",IFERROR(MATCH(PARAMETERS!$M392,DEFAULT!$B$5:$CI$5,0),""))</f>
        <v/>
      </c>
      <c r="AA392" s="56" t="str">
        <f t="shared" si="31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IF($AA392="","",IF($B392="I",VLOOKUP($AA392,#REF!,53,0),INDEX(VALUES!$B$1:$BF$1,1,$AA392)))</f>
        <v/>
      </c>
    </row>
    <row r="393" spans="1:29" outlineLevel="1" x14ac:dyDescent="0.3">
      <c r="A393" s="22" t="s">
        <v>84</v>
      </c>
      <c r="B393" s="41" t="str">
        <f t="shared" si="29"/>
        <v/>
      </c>
      <c r="C393" s="42">
        <f t="shared" si="30"/>
        <v>392</v>
      </c>
      <c r="D393" s="38"/>
      <c r="E393" s="38"/>
      <c r="F393" s="38"/>
      <c r="G393" s="38"/>
      <c r="H393" s="38"/>
      <c r="I393" s="38" t="s">
        <v>9</v>
      </c>
      <c r="J393" s="38"/>
      <c r="K393" s="53" t="s">
        <v>44</v>
      </c>
      <c r="L393" s="53" t="s">
        <v>32</v>
      </c>
      <c r="M393" s="156" t="s">
        <v>176</v>
      </c>
      <c r="N393" s="53" t="s">
        <v>760</v>
      </c>
      <c r="O393" s="155">
        <v>1</v>
      </c>
      <c r="R393" s="38" t="s">
        <v>195</v>
      </c>
      <c r="S393" s="38"/>
      <c r="T393" s="38"/>
      <c r="W393" s="15"/>
      <c r="Z393" s="59" t="str">
        <f>IF(OR($M393="",NOT($O393="{array}")),"",IFERROR(MATCH(PARAMETERS!$M393,DEFAULT!$B$5:$CI$5,0),""))</f>
        <v/>
      </c>
      <c r="AA393" s="56" t="str">
        <f t="shared" si="31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IF($AA393="","",IF($B393="I",VLOOKUP($AA393,#REF!,53,0),INDEX(VALUES!$B$1:$BF$1,1,$AA393)))</f>
        <v/>
      </c>
    </row>
    <row r="394" spans="1:29" outlineLevel="1" x14ac:dyDescent="0.3">
      <c r="A394" s="22" t="s">
        <v>84</v>
      </c>
      <c r="B394" s="41" t="str">
        <f t="shared" si="29"/>
        <v/>
      </c>
      <c r="C394" s="42">
        <f t="shared" si="30"/>
        <v>393</v>
      </c>
      <c r="D394" s="38"/>
      <c r="E394" s="38"/>
      <c r="F394" s="38"/>
      <c r="G394" s="38"/>
      <c r="H394" s="38"/>
      <c r="I394" s="38" t="s">
        <v>9</v>
      </c>
      <c r="J394" s="38"/>
      <c r="K394" s="53" t="s">
        <v>44</v>
      </c>
      <c r="L394" s="53" t="s">
        <v>32</v>
      </c>
      <c r="M394" s="156" t="s">
        <v>221</v>
      </c>
      <c r="N394" s="53" t="s">
        <v>222</v>
      </c>
      <c r="O394" s="155">
        <v>1</v>
      </c>
      <c r="R394" s="38" t="s">
        <v>195</v>
      </c>
      <c r="S394" s="38"/>
      <c r="T394" s="38"/>
      <c r="W394" s="15"/>
      <c r="Z394" s="59" t="str">
        <f>IF(OR($M394="",NOT($O394="{array}")),"",IFERROR(MATCH(PARAMETERS!$M394,DEFAULT!$B$5:$CI$5,0),""))</f>
        <v/>
      </c>
      <c r="AA394" s="56" t="str">
        <f t="shared" si="31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IF($AA394="","",IF($B394="I",VLOOKUP($AA394,#REF!,53,0),INDEX(VALUES!$B$1:$BF$1,1,$AA394)))</f>
        <v/>
      </c>
    </row>
    <row r="395" spans="1:29" outlineLevel="1" x14ac:dyDescent="0.3">
      <c r="A395" s="22" t="s">
        <v>84</v>
      </c>
      <c r="B395" s="41" t="str">
        <f t="shared" si="29"/>
        <v/>
      </c>
      <c r="C395" s="42">
        <f t="shared" si="30"/>
        <v>394</v>
      </c>
      <c r="D395" s="38"/>
      <c r="E395" s="38"/>
      <c r="F395" s="38" t="s">
        <v>9</v>
      </c>
      <c r="G395" s="38" t="s">
        <v>9</v>
      </c>
      <c r="H395" s="38"/>
      <c r="I395" s="38" t="s">
        <v>9</v>
      </c>
      <c r="J395" s="38"/>
      <c r="K395" s="14" t="s">
        <v>44</v>
      </c>
      <c r="L395" s="14" t="s">
        <v>27</v>
      </c>
      <c r="M395" s="20" t="s">
        <v>223</v>
      </c>
      <c r="N395" s="14" t="s">
        <v>224</v>
      </c>
      <c r="O395" s="43">
        <v>1</v>
      </c>
      <c r="Q395" s="38" t="s">
        <v>9</v>
      </c>
      <c r="R395" s="38" t="s">
        <v>104</v>
      </c>
      <c r="S395" s="38"/>
      <c r="T395" s="38"/>
      <c r="W395" s="15"/>
      <c r="Z395" s="59" t="str">
        <f>IF(OR($M395="",NOT($O395="{array}")),"",IFERROR(MATCH(PARAMETERS!$M395,DEFAULT!$B$5:$CI$5,0),""))</f>
        <v/>
      </c>
      <c r="AA395" s="56" t="str">
        <f t="shared" si="31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IF($AA395="","",IF($B395="I",VLOOKUP($AA395,#REF!,53,0),INDEX(VALUES!$B$1:$BF$1,1,$AA395)))</f>
        <v/>
      </c>
    </row>
    <row r="396" spans="1:29" outlineLevel="1" x14ac:dyDescent="0.3">
      <c r="A396" s="22" t="s">
        <v>84</v>
      </c>
      <c r="B396" s="41" t="str">
        <f t="shared" si="29"/>
        <v/>
      </c>
      <c r="C396" s="42">
        <f t="shared" si="30"/>
        <v>395</v>
      </c>
      <c r="D396" s="38"/>
      <c r="E396" s="38"/>
      <c r="F396" s="38" t="s">
        <v>9</v>
      </c>
      <c r="G396" s="38" t="s">
        <v>9</v>
      </c>
      <c r="H396" s="38"/>
      <c r="I396" s="38" t="s">
        <v>9</v>
      </c>
      <c r="J396" s="38"/>
      <c r="K396" s="14" t="s">
        <v>44</v>
      </c>
      <c r="L396" s="14" t="s">
        <v>27</v>
      </c>
      <c r="M396" s="20" t="s">
        <v>225</v>
      </c>
      <c r="N396" s="14" t="s">
        <v>226</v>
      </c>
      <c r="O396" s="43">
        <v>1</v>
      </c>
      <c r="Q396" s="38" t="s">
        <v>9</v>
      </c>
      <c r="R396" s="38" t="s">
        <v>104</v>
      </c>
      <c r="S396" s="38"/>
      <c r="T396" s="38"/>
      <c r="W396" s="15"/>
      <c r="Z396" s="59" t="str">
        <f>IF(OR($M396="",NOT($O396="{array}")),"",IFERROR(MATCH(PARAMETERS!$M396,DEFAULT!$B$5:$CI$5,0),""))</f>
        <v/>
      </c>
      <c r="AA396" s="56" t="str">
        <f t="shared" si="31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IF($AA396="","",IF($B396="I",VLOOKUP($AA396,#REF!,53,0),INDEX(VALUES!$B$1:$BF$1,1,$AA396)))</f>
        <v/>
      </c>
    </row>
    <row r="397" spans="1:29" outlineLevel="1" x14ac:dyDescent="0.3">
      <c r="A397" s="22" t="s">
        <v>84</v>
      </c>
      <c r="B397" s="41" t="str">
        <f t="shared" si="29"/>
        <v/>
      </c>
      <c r="C397" s="42">
        <f t="shared" si="30"/>
        <v>396</v>
      </c>
      <c r="D397" s="38"/>
      <c r="E397" s="38"/>
      <c r="F397" s="38" t="s">
        <v>9</v>
      </c>
      <c r="G397" s="38" t="s">
        <v>9</v>
      </c>
      <c r="H397" s="38"/>
      <c r="I397" s="38" t="s">
        <v>9</v>
      </c>
      <c r="J397" s="38" t="s">
        <v>9</v>
      </c>
      <c r="K397" s="14" t="s">
        <v>44</v>
      </c>
      <c r="L397" s="14" t="s">
        <v>27</v>
      </c>
      <c r="M397" s="20" t="s">
        <v>227</v>
      </c>
      <c r="N397" s="14" t="s">
        <v>226</v>
      </c>
      <c r="O397" s="43">
        <v>1</v>
      </c>
      <c r="Q397" s="38" t="s">
        <v>9</v>
      </c>
      <c r="R397" s="38" t="s">
        <v>104</v>
      </c>
      <c r="S397" s="38"/>
      <c r="T397" s="38"/>
      <c r="W397" s="15"/>
      <c r="Z397" s="59" t="str">
        <f>IF(OR($M397="",NOT($O397="{array}")),"",IFERROR(MATCH(PARAMETERS!$M397,DEFAULT!$B$5:$CI$5,0),""))</f>
        <v/>
      </c>
      <c r="AA397" s="56" t="str">
        <f t="shared" si="31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IF($AA397="","",IF($B397="I",VLOOKUP($AA397,#REF!,53,0),INDEX(VALUES!$B$1:$BF$1,1,$AA397)))</f>
        <v/>
      </c>
    </row>
    <row r="398" spans="1:29" outlineLevel="1" x14ac:dyDescent="0.3">
      <c r="A398" s="22" t="s">
        <v>84</v>
      </c>
      <c r="B398" s="41" t="str">
        <f t="shared" si="29"/>
        <v/>
      </c>
      <c r="C398" s="42">
        <f t="shared" si="30"/>
        <v>397</v>
      </c>
      <c r="D398" s="38"/>
      <c r="E398" s="38"/>
      <c r="F398" s="38"/>
      <c r="G398" s="38" t="s">
        <v>9</v>
      </c>
      <c r="H398" s="38"/>
      <c r="I398" s="38" t="s">
        <v>9</v>
      </c>
      <c r="J398" s="38"/>
      <c r="K398" s="14" t="s">
        <v>44</v>
      </c>
      <c r="L398" s="14" t="s">
        <v>27</v>
      </c>
      <c r="M398" s="20" t="s">
        <v>228</v>
      </c>
      <c r="O398" s="43">
        <v>0</v>
      </c>
      <c r="Q398" s="38" t="s">
        <v>229</v>
      </c>
      <c r="R398" s="38" t="s">
        <v>104</v>
      </c>
      <c r="S398" s="38"/>
      <c r="T398" s="38"/>
      <c r="W398" s="15"/>
      <c r="Z398" s="59" t="str">
        <f>IF(OR($M398="",NOT($O398="{array}")),"",IFERROR(MATCH(PARAMETERS!$M398,DEFAULT!$B$5:$CI$5,0),""))</f>
        <v/>
      </c>
      <c r="AA398" s="56" t="str">
        <f t="shared" si="31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IF($AA398="","",IF($B398="I",VLOOKUP($AA398,#REF!,53,0),INDEX(VALUES!$B$1:$BF$1,1,$AA398)))</f>
        <v/>
      </c>
    </row>
    <row r="399" spans="1:29" outlineLevel="1" x14ac:dyDescent="0.3">
      <c r="A399" s="22" t="s">
        <v>84</v>
      </c>
      <c r="B399" s="41" t="str">
        <f t="shared" si="29"/>
        <v/>
      </c>
      <c r="C399" s="42">
        <f t="shared" si="30"/>
        <v>398</v>
      </c>
      <c r="D399" s="38"/>
      <c r="E399" s="38"/>
      <c r="F399" s="38"/>
      <c r="G399" s="38" t="s">
        <v>9</v>
      </c>
      <c r="H399" s="38"/>
      <c r="I399" s="38" t="s">
        <v>9</v>
      </c>
      <c r="J399" s="38"/>
      <c r="K399" s="14" t="s">
        <v>44</v>
      </c>
      <c r="L399" s="14" t="s">
        <v>27</v>
      </c>
      <c r="M399" s="20" t="s">
        <v>230</v>
      </c>
      <c r="O399" s="43">
        <v>1</v>
      </c>
      <c r="Q399" s="38" t="s">
        <v>229</v>
      </c>
      <c r="R399" s="38" t="s">
        <v>104</v>
      </c>
      <c r="S399" s="38"/>
      <c r="T399" s="38"/>
      <c r="W399" s="15"/>
      <c r="Z399" s="59" t="str">
        <f>IF(OR($M399="",NOT($O399="{array}")),"",IFERROR(MATCH(PARAMETERS!$M399,DEFAULT!$B$5:$CI$5,0),""))</f>
        <v/>
      </c>
      <c r="AA399" s="56" t="str">
        <f t="shared" si="31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IF($AA399="","",IF($B399="I",VLOOKUP($AA399,#REF!,53,0),INDEX(VALUES!$B$1:$BF$1,1,$AA399)))</f>
        <v/>
      </c>
    </row>
    <row r="400" spans="1:29" outlineLevel="1" x14ac:dyDescent="0.3">
      <c r="A400" s="22" t="s">
        <v>84</v>
      </c>
      <c r="B400" s="41" t="str">
        <f t="shared" si="29"/>
        <v/>
      </c>
      <c r="C400" s="42">
        <f t="shared" si="30"/>
        <v>399</v>
      </c>
      <c r="D400" s="38"/>
      <c r="E400" s="38"/>
      <c r="F400" s="38" t="s">
        <v>9</v>
      </c>
      <c r="G400" s="38" t="s">
        <v>9</v>
      </c>
      <c r="H400" s="38"/>
      <c r="I400" s="38" t="s">
        <v>9</v>
      </c>
      <c r="J400" s="38"/>
      <c r="K400" s="14" t="s">
        <v>18</v>
      </c>
      <c r="L400" s="14" t="s">
        <v>27</v>
      </c>
      <c r="M400" s="20" t="s">
        <v>231</v>
      </c>
      <c r="N400" s="14" t="s">
        <v>232</v>
      </c>
      <c r="Q400" s="38" t="s">
        <v>9</v>
      </c>
      <c r="R400" s="38" t="s">
        <v>104</v>
      </c>
      <c r="S400" s="38"/>
      <c r="T400" s="38"/>
      <c r="W400" s="15"/>
      <c r="Z400" s="59" t="str">
        <f>IF(OR($M400="",NOT($O400="{array}")),"",IFERROR(MATCH(PARAMETERS!$M400,DEFAULT!$B$5:$CI$5,0),""))</f>
        <v/>
      </c>
      <c r="AA400" s="56" t="str">
        <f t="shared" si="31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IF($AA400="","",IF($B400="I",VLOOKUP($AA400,#REF!,53,0),INDEX(VALUES!$B$1:$BF$1,1,$AA400)))</f>
        <v/>
      </c>
    </row>
    <row r="401" spans="1:29" outlineLevel="1" x14ac:dyDescent="0.3">
      <c r="A401" s="22" t="s">
        <v>84</v>
      </c>
      <c r="B401" s="41" t="str">
        <f t="shared" si="29"/>
        <v/>
      </c>
      <c r="C401" s="42">
        <f t="shared" si="30"/>
        <v>400</v>
      </c>
      <c r="D401" s="38"/>
      <c r="E401" s="38"/>
      <c r="F401" s="38" t="s">
        <v>9</v>
      </c>
      <c r="G401" s="38" t="s">
        <v>9</v>
      </c>
      <c r="H401" s="38"/>
      <c r="I401" s="38" t="s">
        <v>9</v>
      </c>
      <c r="J401" s="38" t="s">
        <v>9</v>
      </c>
      <c r="K401" s="14" t="s">
        <v>44</v>
      </c>
      <c r="L401" s="14" t="s">
        <v>38</v>
      </c>
      <c r="M401" s="20" t="s">
        <v>233</v>
      </c>
      <c r="N401" s="14" t="s">
        <v>234</v>
      </c>
      <c r="O401" s="43">
        <v>2</v>
      </c>
      <c r="Q401" s="38" t="s">
        <v>9</v>
      </c>
      <c r="R401" s="38" t="s">
        <v>104</v>
      </c>
      <c r="S401" s="38"/>
      <c r="T401" s="38"/>
      <c r="W401" s="15"/>
      <c r="Z401" s="59" t="str">
        <f>IF(OR($M401="",NOT($O401="{array}")),"",IFERROR(MATCH(PARAMETERS!$M401,DEFAULT!$B$5:$CI$5,0),""))</f>
        <v/>
      </c>
      <c r="AA401" s="56" t="str">
        <f t="shared" si="31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IF($AA401="","",IF($B401="I",VLOOKUP($AA401,#REF!,53,0),INDEX(VALUES!$B$1:$BF$1,1,$AA401)))</f>
        <v/>
      </c>
    </row>
    <row r="402" spans="1:29" outlineLevel="1" x14ac:dyDescent="0.3">
      <c r="A402" s="22" t="s">
        <v>84</v>
      </c>
      <c r="B402" s="41" t="str">
        <f t="shared" si="29"/>
        <v/>
      </c>
      <c r="C402" s="42">
        <f t="shared" si="30"/>
        <v>401</v>
      </c>
      <c r="D402" s="38"/>
      <c r="E402" s="38"/>
      <c r="F402" s="38" t="s">
        <v>9</v>
      </c>
      <c r="G402" s="38" t="s">
        <v>9</v>
      </c>
      <c r="H402" s="38"/>
      <c r="I402" s="38" t="s">
        <v>9</v>
      </c>
      <c r="J402" s="38"/>
      <c r="K402" s="14" t="s">
        <v>47</v>
      </c>
      <c r="L402" s="14" t="s">
        <v>27</v>
      </c>
      <c r="M402" s="20" t="s">
        <v>235</v>
      </c>
      <c r="N402" s="14" t="s">
        <v>236</v>
      </c>
      <c r="O402" s="43">
        <v>1</v>
      </c>
      <c r="Q402" s="38" t="s">
        <v>9</v>
      </c>
      <c r="R402" s="38" t="s">
        <v>104</v>
      </c>
      <c r="S402" s="38"/>
      <c r="T402" s="38"/>
      <c r="W402" s="15"/>
      <c r="Z402" s="59" t="str">
        <f>IF(OR($M402="",NOT($O402="{array}")),"",IFERROR(MATCH(PARAMETERS!$M402,DEFAULT!$B$5:$CI$5,0),""))</f>
        <v/>
      </c>
      <c r="AA402" s="56" t="str">
        <f t="shared" si="31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IF($AA402="","",IF($B402="I",VLOOKUP($AA402,#REF!,53,0),INDEX(VALUES!$B$1:$BF$1,1,$AA402)))</f>
        <v/>
      </c>
    </row>
    <row r="403" spans="1:29" outlineLevel="1" x14ac:dyDescent="0.3">
      <c r="A403" s="22" t="s">
        <v>84</v>
      </c>
      <c r="B403" s="41" t="str">
        <f t="shared" si="29"/>
        <v/>
      </c>
      <c r="C403" s="42">
        <f t="shared" si="30"/>
        <v>402</v>
      </c>
      <c r="D403" s="38"/>
      <c r="E403" s="38"/>
      <c r="F403" s="38"/>
      <c r="G403" s="38" t="s">
        <v>9</v>
      </c>
      <c r="H403" s="38"/>
      <c r="I403" s="38" t="s">
        <v>9</v>
      </c>
      <c r="J403" s="38"/>
      <c r="K403" s="14" t="s">
        <v>44</v>
      </c>
      <c r="L403" s="14" t="s">
        <v>27</v>
      </c>
      <c r="M403" s="20" t="s">
        <v>893</v>
      </c>
      <c r="N403" s="14" t="s">
        <v>894</v>
      </c>
      <c r="O403" s="43">
        <v>8000</v>
      </c>
      <c r="Q403" s="38" t="s">
        <v>9</v>
      </c>
      <c r="R403" s="38" t="s">
        <v>195</v>
      </c>
      <c r="S403" s="38"/>
      <c r="T403" s="38"/>
      <c r="W403" s="15"/>
      <c r="Z403" s="59" t="str">
        <f>IF(OR($M403="",NOT($O403="{array}")),"",IFERROR(MATCH(PARAMETERS!$M403,DEFAULT!$B$5:$CI$5,0),""))</f>
        <v/>
      </c>
      <c r="AA403" s="56" t="str">
        <f t="shared" si="31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IF($AA403="","",IF($B403="I",VLOOKUP($AA403,#REF!,53,0),INDEX(VALUES!$B$1:$BF$1,1,$AA403)))</f>
        <v/>
      </c>
    </row>
    <row r="404" spans="1:29" outlineLevel="1" x14ac:dyDescent="0.3">
      <c r="A404" s="22" t="s">
        <v>84</v>
      </c>
      <c r="B404" s="41" t="str">
        <f t="shared" si="29"/>
        <v>V</v>
      </c>
      <c r="C404" s="42">
        <f t="shared" si="30"/>
        <v>403</v>
      </c>
      <c r="D404" s="38"/>
      <c r="E404" s="38"/>
      <c r="F404" s="38"/>
      <c r="G404" s="38"/>
      <c r="H404" s="38"/>
      <c r="I404" s="38" t="s">
        <v>9</v>
      </c>
      <c r="J404" s="38"/>
      <c r="K404" s="53" t="s">
        <v>44</v>
      </c>
      <c r="L404" s="53" t="s">
        <v>32</v>
      </c>
      <c r="M404" s="53" t="s">
        <v>237</v>
      </c>
      <c r="N404" s="53" t="s">
        <v>238</v>
      </c>
      <c r="O404" s="155">
        <v>0</v>
      </c>
      <c r="R404" s="38" t="s">
        <v>195</v>
      </c>
      <c r="S404" s="38"/>
      <c r="T404" s="38"/>
      <c r="W404" s="15"/>
      <c r="Z404" s="59" t="str">
        <f>IF(OR($M404="",NOT($O404="{array}")),"",IFERROR(MATCH(PARAMETERS!$M404,DEFAULT!$B$5:$CI$5,0),""))</f>
        <v/>
      </c>
      <c r="AA404" s="56">
        <f t="shared" si="31"/>
        <v>57</v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IF($AA404="","",IF($B404="I",VLOOKUP($AA404,#REF!,53,0),INDEX(VALUES!$B$1:$BF$1,1,$AA404)))</f>
        <v>0 | 1 | 2 | 3 | 4 | 5 | 6 | 7 | ...</v>
      </c>
    </row>
    <row r="405" spans="1:29" x14ac:dyDescent="0.3">
      <c r="A405" s="22" t="s">
        <v>84</v>
      </c>
      <c r="B405" s="41" t="str">
        <f t="shared" si="29"/>
        <v/>
      </c>
      <c r="C405" s="218">
        <f t="shared" si="30"/>
        <v>404</v>
      </c>
      <c r="D405" s="219"/>
      <c r="E405" s="219"/>
      <c r="F405" s="219"/>
      <c r="G405" s="219"/>
      <c r="H405" s="219"/>
      <c r="I405" s="219"/>
      <c r="J405" s="219"/>
      <c r="K405" s="220" t="s">
        <v>57</v>
      </c>
      <c r="L405" s="220" t="s">
        <v>38</v>
      </c>
      <c r="M405" s="221" t="s">
        <v>862</v>
      </c>
      <c r="N405" s="222" t="s">
        <v>863</v>
      </c>
      <c r="O405" s="223"/>
      <c r="P405" s="220"/>
      <c r="Q405" s="219"/>
      <c r="R405" s="219" t="s">
        <v>104</v>
      </c>
      <c r="S405" s="38"/>
      <c r="T405" s="38"/>
      <c r="Z405" s="59" t="str">
        <f>IF(OR($M405="",NOT($O405="{array}")),"",IFERROR(MATCH(PARAMETERS!$M405,DEFAULT!$B$5:$CI$5,0),""))</f>
        <v/>
      </c>
      <c r="AA405" s="56" t="str">
        <f t="shared" si="31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IF($AA405="","",IF($B405="I",VLOOKUP($AA405,#REF!,53,0),INDEX(VALUES!$B$1:$BF$1,1,$AA405)))</f>
        <v/>
      </c>
    </row>
    <row r="406" spans="1:29" outlineLevel="1" x14ac:dyDescent="0.3">
      <c r="A406" s="22" t="s">
        <v>84</v>
      </c>
      <c r="B406" s="41" t="str">
        <f t="shared" si="29"/>
        <v/>
      </c>
      <c r="C406" s="224">
        <f t="shared" si="30"/>
        <v>405</v>
      </c>
      <c r="D406" s="219"/>
      <c r="E406" s="219"/>
      <c r="F406" s="219"/>
      <c r="G406" s="219"/>
      <c r="H406" s="219"/>
      <c r="I406" s="219" t="s">
        <v>9</v>
      </c>
      <c r="J406" s="219" t="s">
        <v>9</v>
      </c>
      <c r="K406" s="220" t="s">
        <v>44</v>
      </c>
      <c r="L406" s="225" t="s">
        <v>38</v>
      </c>
      <c r="M406" s="226" t="s">
        <v>864</v>
      </c>
      <c r="N406" s="220" t="s">
        <v>865</v>
      </c>
      <c r="O406" s="223">
        <v>1</v>
      </c>
      <c r="P406" s="220"/>
      <c r="Q406" s="219"/>
      <c r="R406" s="219" t="s">
        <v>195</v>
      </c>
      <c r="S406" s="38"/>
      <c r="T406" s="38"/>
      <c r="Z406" s="59" t="str">
        <f>IF(OR($M406="",NOT($O406="{array}")),"",IFERROR(MATCH(PARAMETERS!$M406,DEFAULT!$B$5:$CI$5,0),""))</f>
        <v/>
      </c>
      <c r="AA406" s="56" t="str">
        <f t="shared" ref="AA406:AA415" si="32">IF($M406="","",IFERROR(MATCH($M406,VALUESnames,0),""))</f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IF($AA406="","",IF($B406="I",VLOOKUP($AA406,#REF!,53,0),INDEX(VALUES!$B$1:$BF$1,1,$AA406)))</f>
        <v/>
      </c>
    </row>
    <row r="407" spans="1:29" outlineLevel="1" x14ac:dyDescent="0.3">
      <c r="A407" s="22" t="s">
        <v>84</v>
      </c>
      <c r="B407" s="41" t="str">
        <f t="shared" si="29"/>
        <v/>
      </c>
      <c r="C407" s="224">
        <f t="shared" si="30"/>
        <v>406</v>
      </c>
      <c r="D407" s="219"/>
      <c r="E407" s="219"/>
      <c r="F407" s="219"/>
      <c r="G407" s="219"/>
      <c r="H407" s="219"/>
      <c r="I407" s="219" t="s">
        <v>9</v>
      </c>
      <c r="J407" s="219" t="s">
        <v>9</v>
      </c>
      <c r="K407" s="220" t="s">
        <v>44</v>
      </c>
      <c r="L407" s="225" t="s">
        <v>38</v>
      </c>
      <c r="M407" s="226" t="s">
        <v>866</v>
      </c>
      <c r="N407" s="220" t="s">
        <v>867</v>
      </c>
      <c r="O407" s="223">
        <v>1</v>
      </c>
      <c r="P407" s="220"/>
      <c r="Q407" s="219"/>
      <c r="R407" s="219" t="s">
        <v>195</v>
      </c>
      <c r="S407" s="38"/>
      <c r="T407" s="38"/>
      <c r="Z407" s="59" t="str">
        <f>IF(OR($M407="",NOT($O407="{array}")),"",IFERROR(MATCH(PARAMETERS!$M407,DEFAULT!$B$5:$CI$5,0),""))</f>
        <v/>
      </c>
      <c r="AA407" s="56" t="str">
        <f t="shared" si="32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IF($AA407="","",IF($B407="I",VLOOKUP($AA407,#REF!,53,0),INDEX(VALUES!$B$1:$BF$1,1,$AA407)))</f>
        <v/>
      </c>
    </row>
    <row r="408" spans="1:29" outlineLevel="1" x14ac:dyDescent="0.3">
      <c r="A408" s="22" t="s">
        <v>84</v>
      </c>
      <c r="B408" s="41" t="str">
        <f t="shared" si="29"/>
        <v/>
      </c>
      <c r="C408" s="224">
        <f t="shared" si="30"/>
        <v>407</v>
      </c>
      <c r="D408" s="219"/>
      <c r="E408" s="219"/>
      <c r="F408" s="219"/>
      <c r="G408" s="219"/>
      <c r="H408" s="219"/>
      <c r="I408" s="219" t="s">
        <v>9</v>
      </c>
      <c r="J408" s="219" t="s">
        <v>9</v>
      </c>
      <c r="K408" s="220" t="s">
        <v>44</v>
      </c>
      <c r="L408" s="225" t="s">
        <v>38</v>
      </c>
      <c r="M408" s="226" t="s">
        <v>868</v>
      </c>
      <c r="N408" s="220" t="s">
        <v>869</v>
      </c>
      <c r="O408" s="223">
        <v>0</v>
      </c>
      <c r="P408" s="220"/>
      <c r="Q408" s="219"/>
      <c r="R408" s="219" t="s">
        <v>195</v>
      </c>
      <c r="S408" s="38"/>
      <c r="T408" s="38"/>
      <c r="Z408" s="59" t="str">
        <f>IF(OR($M408="",NOT($O408="{array}")),"",IFERROR(MATCH(PARAMETERS!$M408,DEFAULT!$B$5:$CI$5,0),""))</f>
        <v/>
      </c>
      <c r="AA408" s="56" t="str">
        <f t="shared" si="32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IF($AA408="","",IF($B408="I",VLOOKUP($AA408,#REF!,53,0),INDEX(VALUES!$B$1:$BF$1,1,$AA408)))</f>
        <v/>
      </c>
    </row>
    <row r="409" spans="1:29" outlineLevel="1" x14ac:dyDescent="0.3">
      <c r="A409" s="22" t="s">
        <v>84</v>
      </c>
      <c r="B409" s="41" t="str">
        <f t="shared" si="29"/>
        <v/>
      </c>
      <c r="C409" s="224">
        <f t="shared" si="30"/>
        <v>408</v>
      </c>
      <c r="D409" s="219"/>
      <c r="E409" s="219"/>
      <c r="F409" s="219"/>
      <c r="G409" s="219"/>
      <c r="H409" s="219"/>
      <c r="I409" s="219" t="s">
        <v>9</v>
      </c>
      <c r="J409" s="219" t="s">
        <v>9</v>
      </c>
      <c r="K409" s="220" t="s">
        <v>44</v>
      </c>
      <c r="L409" s="225" t="s">
        <v>38</v>
      </c>
      <c r="M409" s="226" t="s">
        <v>870</v>
      </c>
      <c r="N409" s="220" t="s">
        <v>871</v>
      </c>
      <c r="O409" s="223">
        <v>0</v>
      </c>
      <c r="P409" s="220"/>
      <c r="Q409" s="219"/>
      <c r="R409" s="219" t="s">
        <v>195</v>
      </c>
      <c r="S409" s="38"/>
      <c r="T409" s="38"/>
      <c r="Z409" s="59" t="str">
        <f>IF(OR($M409="",NOT($O409="{array}")),"",IFERROR(MATCH(PARAMETERS!$M409,DEFAULT!$B$5:$CI$5,0),""))</f>
        <v/>
      </c>
      <c r="AA409" s="56" t="str">
        <f t="shared" si="32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IF($AA409="","",IF($B409="I",VLOOKUP($AA409,#REF!,53,0),INDEX(VALUES!$B$1:$BF$1,1,$AA409)))</f>
        <v/>
      </c>
    </row>
    <row r="410" spans="1:29" x14ac:dyDescent="0.3">
      <c r="A410" s="22"/>
      <c r="B410" s="41" t="str">
        <f t="shared" ref="B410:B415" si="33">IF($A410="P",IF(NOT($Z410=""),"A",IF(NOT($AA410=""),"I","")),IF(NOT($AA410=""),IF($A410="G","V","X"),IF(NOT($Z410=""),"A","")))</f>
        <v/>
      </c>
      <c r="C410" s="42">
        <f t="shared" si="30"/>
        <v>409</v>
      </c>
      <c r="D410" s="38"/>
      <c r="E410" s="38"/>
      <c r="F410" s="38"/>
      <c r="G410" s="38"/>
      <c r="H410" s="38"/>
      <c r="I410" s="38"/>
      <c r="J410" s="38"/>
      <c r="R410" s="38"/>
      <c r="S410" s="38"/>
      <c r="T410" s="38"/>
      <c r="Z410" s="59" t="str">
        <f>IF(OR($M410="",NOT($O410="{array}")),"",IFERROR(MATCH(PARAMETERS!$M410,DEFAULT!$B$5:$CI$5,0),""))</f>
        <v/>
      </c>
      <c r="AA410" s="56" t="str">
        <f t="shared" si="32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IF($AA410="","",IF($B410="I",VLOOKUP($AA410,#REF!,53,0),INDEX(VALUES!$B$1:$BF$1,1,$AA410)))</f>
        <v/>
      </c>
    </row>
    <row r="411" spans="1:29" x14ac:dyDescent="0.3">
      <c r="A411" s="22"/>
      <c r="B411" s="41" t="str">
        <f t="shared" si="33"/>
        <v/>
      </c>
      <c r="C411" s="42">
        <f t="shared" si="30"/>
        <v>410</v>
      </c>
      <c r="D411" s="38"/>
      <c r="E411" s="38"/>
      <c r="F411" s="38"/>
      <c r="G411" s="38"/>
      <c r="H411" s="38"/>
      <c r="I411" s="38"/>
      <c r="J411" s="38"/>
      <c r="R411" s="38"/>
      <c r="S411" s="38"/>
      <c r="T411" s="38"/>
      <c r="Z411" s="59" t="str">
        <f>IF(OR($M411="",NOT($O411="{array}")),"",IFERROR(MATCH(PARAMETERS!$M411,DEFAULT!$B$5:$CI$5,0),""))</f>
        <v/>
      </c>
      <c r="AA411" s="56" t="str">
        <f t="shared" si="32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IF($AA411="","",IF($B411="I",VLOOKUP($AA411,#REF!,53,0),INDEX(VALUES!$B$1:$BF$1,1,$AA411)))</f>
        <v/>
      </c>
    </row>
    <row r="412" spans="1:29" x14ac:dyDescent="0.3">
      <c r="A412" s="22"/>
      <c r="B412" s="41" t="str">
        <f t="shared" si="33"/>
        <v/>
      </c>
      <c r="C412" s="42">
        <f t="shared" si="30"/>
        <v>411</v>
      </c>
      <c r="D412" s="38"/>
      <c r="E412" s="38"/>
      <c r="F412" s="38"/>
      <c r="G412" s="38"/>
      <c r="H412" s="38"/>
      <c r="I412" s="38"/>
      <c r="J412" s="38"/>
      <c r="R412" s="38"/>
      <c r="S412" s="38"/>
      <c r="T412" s="38"/>
      <c r="Z412" s="59" t="str">
        <f>IF(OR($M412="",NOT($O412="{array}")),"",IFERROR(MATCH(PARAMETERS!$M412,DEFAULT!$B$5:$CI$5,0),""))</f>
        <v/>
      </c>
      <c r="AA412" s="56" t="str">
        <f t="shared" si="32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IF($AA412="","",IF($B412="I",VLOOKUP($AA412,#REF!,53,0),INDEX(VALUES!$B$1:$BF$1,1,$AA412)))</f>
        <v/>
      </c>
    </row>
    <row r="413" spans="1:29" x14ac:dyDescent="0.3">
      <c r="A413" s="22"/>
      <c r="B413" s="41" t="str">
        <f t="shared" si="33"/>
        <v/>
      </c>
      <c r="C413" s="42">
        <f t="shared" si="30"/>
        <v>412</v>
      </c>
      <c r="D413" s="38"/>
      <c r="E413" s="38"/>
      <c r="F413" s="38"/>
      <c r="G413" s="38"/>
      <c r="H413" s="38"/>
      <c r="I413" s="38"/>
      <c r="J413" s="38"/>
      <c r="R413" s="38"/>
      <c r="S413" s="38"/>
      <c r="T413" s="38"/>
      <c r="Z413" s="59" t="str">
        <f>IF(OR($M413="",NOT($O413="{array}")),"",IFERROR(MATCH(PARAMETERS!$M413,DEFAULT!$B$5:$CI$5,0),""))</f>
        <v/>
      </c>
      <c r="AA413" s="56" t="str">
        <f t="shared" si="32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IF($AA413="","",IF($B413="I",VLOOKUP($AA413,#REF!,53,0),INDEX(VALUES!$B$1:$BF$1,1,$AA413)))</f>
        <v/>
      </c>
    </row>
    <row r="414" spans="1:29" x14ac:dyDescent="0.3">
      <c r="A414" s="22"/>
      <c r="B414" s="41" t="str">
        <f t="shared" si="33"/>
        <v/>
      </c>
      <c r="C414" s="42">
        <f t="shared" si="30"/>
        <v>413</v>
      </c>
      <c r="D414" s="38"/>
      <c r="E414" s="38"/>
      <c r="F414" s="38"/>
      <c r="G414" s="38"/>
      <c r="H414" s="38"/>
      <c r="I414" s="38"/>
      <c r="J414" s="38"/>
      <c r="R414" s="38"/>
      <c r="S414" s="38"/>
      <c r="T414" s="38"/>
      <c r="Z414" s="59" t="str">
        <f>IF(OR($M414="",NOT($O414="{array}")),"",IFERROR(MATCH(PARAMETERS!$M414,DEFAULT!$B$5:$CI$5,0),""))</f>
        <v/>
      </c>
      <c r="AA414" s="56" t="str">
        <f t="shared" si="32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IF($AA414="","",IF($B414="I",VLOOKUP($AA414,#REF!,53,0),INDEX(VALUES!$B$1:$BF$1,1,$AA414)))</f>
        <v/>
      </c>
    </row>
    <row r="415" spans="1:29" ht="18" thickBot="1" x14ac:dyDescent="0.35">
      <c r="A415" s="22"/>
      <c r="B415" s="41" t="str">
        <f t="shared" si="33"/>
        <v/>
      </c>
      <c r="C415" s="42">
        <f t="shared" si="30"/>
        <v>414</v>
      </c>
      <c r="D415" s="38"/>
      <c r="E415" s="38"/>
      <c r="F415" s="38"/>
      <c r="G415" s="38"/>
      <c r="H415" s="38"/>
      <c r="I415" s="38"/>
      <c r="J415" s="38"/>
      <c r="R415" s="38"/>
      <c r="S415" s="38"/>
      <c r="T415" s="38"/>
      <c r="Z415" s="59" t="str">
        <f>IF(OR($M415="",NOT($O415="{array}")),"",IFERROR(MATCH(PARAMETERS!$M415,DEFAULT!$B$5:$CI$5,0),""))</f>
        <v/>
      </c>
      <c r="AA415" s="56" t="str">
        <f t="shared" si="32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IF($AA415="","",IF($B415="I",VLOOKUP($AA415,#REF!,53,0),INDEX(VALUES!$B$1:$BF$1,1,$AA415)))</f>
        <v/>
      </c>
    </row>
    <row r="416" spans="1:29" s="25" customFormat="1" ht="18" thickTop="1" x14ac:dyDescent="0.3">
      <c r="A416" s="35"/>
      <c r="B416" s="25" t="str">
        <f>IF($A416="","",IF($A416="G",IF(NOT($Z416=""),"A",IF(NOT($AA416=""),"V","")),IF($A416="P",IF(NOT($Z416=""),"A",IF(NOT($AA416=""),"I","")))))</f>
        <v/>
      </c>
      <c r="D416" s="44"/>
      <c r="E416" s="44"/>
      <c r="F416" s="44"/>
      <c r="G416" s="44"/>
      <c r="H416" s="44"/>
      <c r="I416" s="44"/>
      <c r="J416" s="44"/>
      <c r="M416" s="47"/>
      <c r="O416" s="45"/>
      <c r="Q416" s="52"/>
      <c r="R416" s="44"/>
      <c r="S416" s="44"/>
      <c r="T416" s="44"/>
      <c r="X416" s="46"/>
      <c r="Z416" s="60"/>
      <c r="AA416" s="61"/>
      <c r="AB416" s="64"/>
    </row>
    <row r="417" spans="13:14" x14ac:dyDescent="0.3">
      <c r="M417" s="20" t="s">
        <v>759</v>
      </c>
      <c r="N417" s="20" t="s">
        <v>753</v>
      </c>
    </row>
    <row r="418" spans="13:14" x14ac:dyDescent="0.3">
      <c r="N418" s="209" t="s">
        <v>754</v>
      </c>
    </row>
    <row r="419" spans="13:14" x14ac:dyDescent="0.3">
      <c r="N419" s="203" t="s">
        <v>755</v>
      </c>
    </row>
    <row r="420" spans="13:14" x14ac:dyDescent="0.3">
      <c r="M420" s="20" t="s">
        <v>758</v>
      </c>
      <c r="N420" s="151" t="s">
        <v>756</v>
      </c>
    </row>
    <row r="421" spans="13:14" x14ac:dyDescent="0.3">
      <c r="N421" s="210" t="s">
        <v>757</v>
      </c>
    </row>
  </sheetData>
  <phoneticPr fontId="7" type="noConversion"/>
  <conditionalFormatting sqref="A2:A415">
    <cfRule type="cellIs" dxfId="1" priority="75" stopIfTrue="1" operator="equal">
      <formula>"G"</formula>
    </cfRule>
    <cfRule type="cellIs" dxfId="0" priority="76" stopIfTrue="1" operator="equal">
      <formula>"P"</formula>
    </cfRule>
  </conditionalFormatting>
  <dataValidations count="8">
    <dataValidation type="list" allowBlank="1" showInputMessage="1" sqref="S298:S303 S304:T415 S2:T297">
      <formula1>read_write</formula1>
    </dataValidation>
    <dataValidation type="list" allowBlank="1" showInputMessage="1" showErrorMessage="1" sqref="Q2:Q68 Q70:Q415 D2:J415">
      <formula1>"x"</formula1>
    </dataValidation>
    <dataValidation type="list" allowBlank="1" showInputMessage="1" showErrorMessage="1" sqref="R2:R415">
      <formula1>Stakeholder</formula1>
    </dataValidation>
    <dataValidation type="list" allowBlank="1" showInputMessage="1" showErrorMessage="1" sqref="K2:K41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415">
      <formula1>"info,model,logic,internal"</formula1>
    </dataValidation>
    <dataValidation type="list" allowBlank="1" showInputMessage="1" sqref="O2:O415">
      <formula1>"empty,{array}"</formula1>
    </dataValidation>
    <dataValidation type="custom" allowBlank="1" showInputMessage="1" showErrorMessage="1" sqref="C2:C415">
      <formula1>"x"</formula1>
    </dataValidation>
    <dataValidation type="list" allowBlank="1" showInputMessage="1" sqref="A2:A415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F1" sqref="F1:G1048576"/>
      <selection pane="bottomLeft" activeCell="A3" sqref="A3"/>
    </sheetView>
  </sheetViews>
  <sheetFormatPr baseColWidth="10" defaultColWidth="11.44140625" defaultRowHeight="13.8" x14ac:dyDescent="0.3"/>
  <cols>
    <col min="1" max="1" width="17.6640625" style="23" customWidth="1"/>
    <col min="2" max="5" width="7" style="17" bestFit="1" customWidth="1"/>
    <col min="6" max="7" width="11.109375" style="17" customWidth="1"/>
    <col min="8" max="11" width="9.5546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5" width="21.5546875" style="17" customWidth="1"/>
    <col min="86" max="86" width="15.5546875" style="17" customWidth="1"/>
    <col min="87" max="87" width="25.6640625" style="17" customWidth="1"/>
    <col min="88" max="88" width="36" style="29" customWidth="1"/>
    <col min="89" max="16384" width="11.44140625" style="14"/>
  </cols>
  <sheetData>
    <row r="1" spans="1:88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260" t="s">
        <v>88</v>
      </c>
    </row>
    <row r="2" spans="1:88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I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>IF(CE$3="-","-",IF(CE$3=CD$3,CD$2+1,1))</f>
        <v>-</v>
      </c>
      <c r="CF2" s="34" t="str">
        <f>IF(CF$3="-","-",IF(CF$3=CE$3,CE$2+1,1))</f>
        <v>-</v>
      </c>
      <c r="CG2" s="34" t="str">
        <f>IF(CG$3="-","-",IF(CG$3=CF$3,CF$2+1,1))</f>
        <v>-</v>
      </c>
      <c r="CH2" s="34" t="str">
        <f>IF(CH$3="-","-",IF(CH$3=CG$3,CG$2+1,1))</f>
        <v>-</v>
      </c>
      <c r="CI2" s="34" t="str">
        <f t="shared" si="2"/>
        <v>-</v>
      </c>
      <c r="CJ2" s="260"/>
    </row>
    <row r="3" spans="1:88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 t="shared" si="3"/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I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>IF(CE$5="",CD$3,IFERROR(MATCH(CE$5,prodArrayNames,0),"-"))</f>
        <v>-</v>
      </c>
      <c r="CF3" s="50" t="str">
        <f>IF(CF$5="",CE$3,IFERROR(MATCH(CF$5,prodArrayNames,0),"-"))</f>
        <v>-</v>
      </c>
      <c r="CG3" s="50" t="str">
        <f>IF(CG$5="",CF$3,IFERROR(MATCH(CG$5,prodArrayNames,0),"-"))</f>
        <v>-</v>
      </c>
      <c r="CH3" s="50" t="str">
        <f>IF(CH$5="",CG$3,IFERROR(MATCH(CH$5,prodArrayNames,0),"-"))</f>
        <v>-</v>
      </c>
      <c r="CI3" s="50" t="str">
        <f t="shared" si="5"/>
        <v>-</v>
      </c>
      <c r="CJ3" s="260"/>
    </row>
    <row r="4" spans="1:88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80FF2C22-5522-1364-</v>
      </c>
      <c r="G4" s="51" t="str">
        <f t="shared" si="6"/>
        <v/>
      </c>
      <c r="H4" s="51" t="str">
        <f t="shared" si="6"/>
        <v>874F09E1-5258-1368-</v>
      </c>
      <c r="I4" s="51" t="str">
        <f t="shared" si="6"/>
        <v/>
      </c>
      <c r="J4" s="51" t="str">
        <f t="shared" si="6"/>
        <v/>
      </c>
      <c r="K4" s="51" t="str">
        <f t="shared" si="6"/>
        <v/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/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/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>8A28CA24-5822-1288-</v>
      </c>
      <c r="BD4" s="51" t="str">
        <f t="shared" si="7"/>
        <v/>
      </c>
      <c r="BE4" s="51" t="str">
        <f t="shared" si="7"/>
        <v>8A28CA24-5822-1238-</v>
      </c>
      <c r="BF4" s="51" t="str">
        <f t="shared" si="7"/>
        <v/>
      </c>
      <c r="BG4" s="51" t="str">
        <f t="shared" si="7"/>
        <v>81A8CA24-3946-1028-</v>
      </c>
      <c r="BH4" s="51" t="str">
        <f t="shared" si="7"/>
        <v/>
      </c>
      <c r="BI4" s="51" t="str">
        <f t="shared" si="7"/>
        <v>81A8CA24-4880-1272-</v>
      </c>
      <c r="BJ4" s="51" t="str">
        <f t="shared" si="7"/>
        <v/>
      </c>
      <c r="BK4" s="51" t="str">
        <f t="shared" si="7"/>
        <v>8AA8CA24-5926-1008-</v>
      </c>
      <c r="BL4" s="51" t="str">
        <f t="shared" si="7"/>
        <v>8AA8CA24-5926-1247-</v>
      </c>
      <c r="BM4" s="51" t="str">
        <f t="shared" si="7"/>
        <v>8AA8CA24-5926-1473-</v>
      </c>
      <c r="BN4" s="51" t="str">
        <f t="shared" si="7"/>
        <v>8AA8CA24-5926-1473-</v>
      </c>
      <c r="BO4" s="51" t="str">
        <f t="shared" si="7"/>
        <v>81CC0224-5585-1532-</v>
      </c>
      <c r="BP4" s="51" t="str">
        <f t="shared" si="7"/>
        <v/>
      </c>
      <c r="BQ4" s="51" t="str">
        <f t="shared" si="7"/>
        <v/>
      </c>
      <c r="BR4" s="51" t="str">
        <f t="shared" ref="BR4:CI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8AE93A24-5924-1164-</v>
      </c>
      <c r="CG4" s="51" t="str">
        <f t="shared" si="8"/>
        <v/>
      </c>
      <c r="CH4" s="51" t="str">
        <f t="shared" si="8"/>
        <v>8D223E24-3946-1028-</v>
      </c>
      <c r="CI4" s="51" t="str">
        <f t="shared" si="8"/>
        <v/>
      </c>
      <c r="CJ4" s="96"/>
    </row>
    <row r="5" spans="1:88" ht="22.5" customHeight="1" thickTop="1" x14ac:dyDescent="0.3">
      <c r="A5" s="28" t="s">
        <v>87</v>
      </c>
      <c r="B5" s="95" t="s">
        <v>752</v>
      </c>
      <c r="C5" s="95"/>
      <c r="D5" s="95"/>
      <c r="E5" s="95"/>
      <c r="F5" s="95" t="s">
        <v>984</v>
      </c>
      <c r="G5" s="95"/>
      <c r="H5" s="95" t="s">
        <v>1377</v>
      </c>
      <c r="I5" s="95"/>
      <c r="J5" s="95"/>
      <c r="K5" s="95"/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774</v>
      </c>
      <c r="BD5" s="95"/>
      <c r="BE5" s="95" t="s">
        <v>837</v>
      </c>
      <c r="BF5" s="95"/>
      <c r="BG5" s="95" t="s">
        <v>775</v>
      </c>
      <c r="BH5" s="95"/>
      <c r="BI5" s="95" t="s">
        <v>838</v>
      </c>
      <c r="BJ5" s="95"/>
      <c r="BK5" s="95" t="s">
        <v>776</v>
      </c>
      <c r="BL5" s="95" t="s">
        <v>835</v>
      </c>
      <c r="BM5" s="95" t="s">
        <v>778</v>
      </c>
      <c r="BN5" s="95" t="s">
        <v>836</v>
      </c>
      <c r="BO5" s="95" t="s">
        <v>601</v>
      </c>
      <c r="BP5" s="95"/>
      <c r="BQ5" s="95" t="s">
        <v>761</v>
      </c>
      <c r="BR5" s="95" t="s">
        <v>828</v>
      </c>
      <c r="BS5" s="95"/>
      <c r="BT5" s="95" t="s">
        <v>761</v>
      </c>
      <c r="BU5" s="95" t="s">
        <v>885</v>
      </c>
      <c r="BV5" s="214" t="s">
        <v>761</v>
      </c>
      <c r="BW5" s="95" t="s">
        <v>717</v>
      </c>
      <c r="BX5" s="214" t="s">
        <v>198</v>
      </c>
      <c r="BY5" s="214" t="s">
        <v>761</v>
      </c>
      <c r="BZ5" s="214" t="s">
        <v>200</v>
      </c>
      <c r="CA5" s="214" t="s">
        <v>761</v>
      </c>
      <c r="CB5" s="214" t="s">
        <v>202</v>
      </c>
      <c r="CC5" s="214" t="s">
        <v>761</v>
      </c>
      <c r="CD5" s="214" t="s">
        <v>193</v>
      </c>
      <c r="CE5" s="214" t="s">
        <v>761</v>
      </c>
      <c r="CF5" s="214" t="s">
        <v>1040</v>
      </c>
      <c r="CG5" s="214" t="s">
        <v>761</v>
      </c>
      <c r="CH5" s="214" t="s">
        <v>206</v>
      </c>
      <c r="CI5" s="214" t="s">
        <v>761</v>
      </c>
      <c r="CJ5" s="96" t="s">
        <v>148</v>
      </c>
    </row>
    <row r="6" spans="1:88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1.5459999999999998</v>
      </c>
      <c r="G6" s="17">
        <v>0.93500000000000005</v>
      </c>
      <c r="H6" s="255">
        <v>0.02</v>
      </c>
      <c r="I6" s="17">
        <v>0.14299999999999999</v>
      </c>
      <c r="J6" s="17">
        <v>6.4000000000000001E-2</v>
      </c>
      <c r="K6" s="17">
        <v>0.01</v>
      </c>
      <c r="AD6" s="211"/>
      <c r="AF6" s="211"/>
      <c r="AH6" s="211"/>
      <c r="AJ6" s="211"/>
      <c r="AL6" s="21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986</v>
      </c>
      <c r="BL6" s="17" t="s">
        <v>986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11" t="s">
        <v>820</v>
      </c>
      <c r="BR6" s="17">
        <v>2.1000000000000001E-2</v>
      </c>
      <c r="BS6" s="17">
        <v>0.03</v>
      </c>
      <c r="BT6" s="211" t="s">
        <v>829</v>
      </c>
      <c r="BU6" s="17">
        <v>0</v>
      </c>
      <c r="BV6" s="17" t="s">
        <v>887</v>
      </c>
      <c r="BW6" s="17">
        <v>-9999</v>
      </c>
      <c r="BX6" s="215">
        <v>96</v>
      </c>
      <c r="BY6" s="216" t="s">
        <v>763</v>
      </c>
      <c r="BZ6" s="215">
        <v>92</v>
      </c>
      <c r="CA6" s="216" t="s">
        <v>764</v>
      </c>
      <c r="CB6" s="215">
        <v>91</v>
      </c>
      <c r="CC6" s="216" t="s">
        <v>765</v>
      </c>
      <c r="CD6" s="215">
        <v>64</v>
      </c>
      <c r="CE6" s="216" t="s">
        <v>766</v>
      </c>
      <c r="CF6" s="215">
        <v>21</v>
      </c>
      <c r="CG6" s="216" t="s">
        <v>1041</v>
      </c>
      <c r="CH6" s="215">
        <v>40</v>
      </c>
      <c r="CI6" s="216" t="s">
        <v>767</v>
      </c>
      <c r="CJ6" s="96" t="s">
        <v>89</v>
      </c>
    </row>
    <row r="7" spans="1:88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1.6709999999999998</v>
      </c>
      <c r="G7" s="17">
        <v>1.06</v>
      </c>
      <c r="H7" s="17">
        <v>0.02</v>
      </c>
      <c r="I7" s="17">
        <v>0.152</v>
      </c>
      <c r="J7" s="17">
        <v>5.8999999999999997E-2</v>
      </c>
      <c r="K7" s="17">
        <v>0.01</v>
      </c>
      <c r="AD7" s="211"/>
      <c r="AF7" s="211"/>
      <c r="AH7" s="211"/>
      <c r="AJ7" s="211"/>
      <c r="AL7" s="21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987</v>
      </c>
      <c r="BL7" s="17" t="s">
        <v>987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11" t="s">
        <v>821</v>
      </c>
      <c r="BR7" s="17">
        <v>4.2000000000000003E-2</v>
      </c>
      <c r="BS7" s="17">
        <v>1.4999999999999999E-2</v>
      </c>
      <c r="BT7" s="211" t="s">
        <v>830</v>
      </c>
      <c r="BU7" s="17">
        <v>0</v>
      </c>
      <c r="BV7" s="17" t="s">
        <v>888</v>
      </c>
      <c r="BW7" s="17">
        <v>0</v>
      </c>
      <c r="BX7" s="215">
        <v>2</v>
      </c>
      <c r="BY7" s="216" t="s">
        <v>779</v>
      </c>
      <c r="BZ7" s="215">
        <v>96</v>
      </c>
      <c r="CA7" s="216" t="s">
        <v>768</v>
      </c>
      <c r="CB7" s="215">
        <v>91</v>
      </c>
      <c r="CC7" s="216" t="s">
        <v>769</v>
      </c>
      <c r="CD7" s="215">
        <v>71</v>
      </c>
      <c r="CE7" s="216" t="s">
        <v>770</v>
      </c>
      <c r="CF7" s="215">
        <v>1</v>
      </c>
      <c r="CG7" s="216" t="s">
        <v>1309</v>
      </c>
      <c r="CH7" s="215">
        <v>40</v>
      </c>
      <c r="CI7" s="216" t="s">
        <v>762</v>
      </c>
    </row>
    <row r="8" spans="1:88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1.7959999999999998</v>
      </c>
      <c r="G8" s="17">
        <v>1.1850000000000001</v>
      </c>
      <c r="H8" s="17">
        <v>0.02</v>
      </c>
      <c r="I8" s="17">
        <v>0.16300000000000001</v>
      </c>
      <c r="J8" s="17">
        <v>8.1000000000000003E-2</v>
      </c>
      <c r="K8" s="17">
        <v>0.01</v>
      </c>
      <c r="AD8" s="211"/>
      <c r="AF8" s="211"/>
      <c r="AH8" s="211"/>
      <c r="AJ8" s="211"/>
      <c r="AL8" s="21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987</v>
      </c>
      <c r="BL8" s="17" t="s">
        <v>987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11" t="s">
        <v>831</v>
      </c>
      <c r="BU8" s="17">
        <v>0</v>
      </c>
      <c r="BV8" s="17" t="s">
        <v>889</v>
      </c>
      <c r="BW8" s="17">
        <v>-9999</v>
      </c>
      <c r="BX8" s="215">
        <v>3</v>
      </c>
      <c r="BY8" s="216" t="s">
        <v>780</v>
      </c>
      <c r="BZ8" s="215">
        <v>96</v>
      </c>
      <c r="CA8" s="216" t="s">
        <v>781</v>
      </c>
      <c r="CB8" s="215">
        <v>91</v>
      </c>
      <c r="CC8" s="216" t="s">
        <v>782</v>
      </c>
      <c r="CD8" s="215">
        <v>64</v>
      </c>
      <c r="CE8" s="216" t="s">
        <v>783</v>
      </c>
      <c r="CF8" s="215">
        <v>1</v>
      </c>
      <c r="CG8" s="216" t="s">
        <v>1310</v>
      </c>
      <c r="CH8" s="215">
        <v>57</v>
      </c>
      <c r="CI8" s="216" t="s">
        <v>784</v>
      </c>
    </row>
    <row r="9" spans="1:88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1.9209999999999998</v>
      </c>
      <c r="G9" s="17">
        <v>1.31</v>
      </c>
      <c r="H9" s="17">
        <v>0.02</v>
      </c>
      <c r="I9" s="17">
        <v>0.13500000000000001</v>
      </c>
      <c r="J9" s="17">
        <v>6.5000000000000002E-2</v>
      </c>
      <c r="K9" s="17">
        <v>0.01</v>
      </c>
      <c r="AD9" s="211"/>
      <c r="AF9" s="211"/>
      <c r="AH9" s="211"/>
      <c r="AJ9" s="211"/>
      <c r="AL9" s="211"/>
      <c r="BU9" s="17">
        <v>0</v>
      </c>
      <c r="BV9" s="17" t="s">
        <v>890</v>
      </c>
      <c r="BW9" s="17">
        <v>0</v>
      </c>
      <c r="BX9" s="215">
        <v>96</v>
      </c>
      <c r="BY9" s="216" t="s">
        <v>785</v>
      </c>
      <c r="BZ9" s="215">
        <v>96</v>
      </c>
      <c r="CA9" s="216" t="s">
        <v>786</v>
      </c>
      <c r="CB9" s="215">
        <v>91</v>
      </c>
      <c r="CC9" s="216" t="s">
        <v>787</v>
      </c>
      <c r="CD9" s="215">
        <v>64</v>
      </c>
      <c r="CE9" s="216" t="s">
        <v>788</v>
      </c>
      <c r="CF9" s="215">
        <v>21</v>
      </c>
      <c r="CG9" s="216" t="s">
        <v>1311</v>
      </c>
      <c r="CH9" s="215">
        <v>57</v>
      </c>
      <c r="CI9" s="216" t="s">
        <v>789</v>
      </c>
    </row>
    <row r="10" spans="1:88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2.0459999999999998</v>
      </c>
      <c r="G10" s="17">
        <v>1.4350000000000001</v>
      </c>
      <c r="H10" s="17">
        <v>0.02</v>
      </c>
      <c r="I10" s="17">
        <v>0.13500000000000001</v>
      </c>
      <c r="J10" s="17">
        <v>5.8999999999999997E-2</v>
      </c>
      <c r="K10" s="17">
        <v>0.01</v>
      </c>
      <c r="AD10" s="211"/>
      <c r="AF10" s="211"/>
      <c r="AH10" s="211"/>
      <c r="AJ10" s="211"/>
      <c r="AL10" s="211"/>
      <c r="BU10" s="17">
        <v>90</v>
      </c>
      <c r="BV10" s="17" t="s">
        <v>891</v>
      </c>
      <c r="BX10" s="215">
        <v>3</v>
      </c>
      <c r="BY10" s="216" t="s">
        <v>790</v>
      </c>
      <c r="BZ10" s="215">
        <v>96</v>
      </c>
      <c r="CA10" s="216" t="s">
        <v>791</v>
      </c>
      <c r="CB10" s="215">
        <v>91</v>
      </c>
      <c r="CC10" s="216" t="s">
        <v>792</v>
      </c>
      <c r="CD10" s="215">
        <v>71</v>
      </c>
      <c r="CE10" s="216" t="s">
        <v>793</v>
      </c>
      <c r="CF10" s="215">
        <v>21</v>
      </c>
      <c r="CG10" s="216" t="s">
        <v>1312</v>
      </c>
      <c r="CH10" s="215">
        <v>24</v>
      </c>
      <c r="CI10" s="216" t="s">
        <v>794</v>
      </c>
    </row>
    <row r="11" spans="1:88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2.109</v>
      </c>
      <c r="G11" s="17">
        <v>1.4350000000000001</v>
      </c>
      <c r="H11" s="17">
        <v>0.02</v>
      </c>
      <c r="I11" s="17">
        <v>0.155</v>
      </c>
      <c r="J11" s="17">
        <v>7.5999999999999998E-2</v>
      </c>
      <c r="K11" s="17">
        <v>0.01</v>
      </c>
      <c r="AD11" s="211"/>
      <c r="AF11" s="211"/>
      <c r="AH11" s="211"/>
      <c r="AJ11" s="211"/>
      <c r="BU11" s="17">
        <v>0</v>
      </c>
      <c r="BV11" s="17" t="s">
        <v>892</v>
      </c>
      <c r="BX11" s="215">
        <v>100</v>
      </c>
      <c r="BY11" s="216" t="s">
        <v>795</v>
      </c>
      <c r="BZ11" s="215">
        <v>96</v>
      </c>
      <c r="CA11" s="216" t="s">
        <v>796</v>
      </c>
      <c r="CB11" s="215">
        <v>91</v>
      </c>
      <c r="CC11" s="216" t="s">
        <v>797</v>
      </c>
      <c r="CD11" s="215">
        <v>64</v>
      </c>
      <c r="CE11" s="216" t="s">
        <v>798</v>
      </c>
      <c r="CF11" s="215"/>
      <c r="CG11" s="216"/>
      <c r="CH11" s="215">
        <v>24</v>
      </c>
      <c r="CI11" s="216" t="s">
        <v>799</v>
      </c>
    </row>
    <row r="12" spans="1:88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2.1709999999999998</v>
      </c>
      <c r="G12" s="17">
        <v>1.56</v>
      </c>
      <c r="H12" s="17">
        <v>0.02</v>
      </c>
      <c r="I12" s="17">
        <v>0.14299999999999999</v>
      </c>
      <c r="J12" s="17">
        <v>5.8999999999999997E-2</v>
      </c>
      <c r="K12" s="17">
        <v>0.01</v>
      </c>
      <c r="AD12" s="211"/>
      <c r="AF12" s="211"/>
      <c r="AH12" s="211"/>
      <c r="AJ12" s="211"/>
      <c r="BX12" s="215">
        <v>96</v>
      </c>
      <c r="BY12" s="216" t="s">
        <v>882</v>
      </c>
      <c r="BZ12" s="215">
        <v>96</v>
      </c>
      <c r="CA12" s="216" t="s">
        <v>800</v>
      </c>
      <c r="CB12" s="215">
        <v>91</v>
      </c>
      <c r="CC12" s="216" t="s">
        <v>801</v>
      </c>
      <c r="CD12" s="215">
        <v>71</v>
      </c>
      <c r="CE12" s="216" t="s">
        <v>802</v>
      </c>
      <c r="CF12" s="215"/>
      <c r="CG12" s="216"/>
      <c r="CH12" s="215">
        <v>24</v>
      </c>
      <c r="CI12" s="216" t="s">
        <v>803</v>
      </c>
    </row>
    <row r="13" spans="1:88" ht="22.5" customHeight="1" x14ac:dyDescent="0.3">
      <c r="F13" s="17">
        <v>2.2959999999999998</v>
      </c>
      <c r="G13" s="17">
        <v>1.6850000000000001</v>
      </c>
      <c r="H13" s="17">
        <v>0.02</v>
      </c>
      <c r="I13" s="17">
        <v>0.16300000000000001</v>
      </c>
      <c r="J13" s="17">
        <v>7.5999999999999998E-2</v>
      </c>
      <c r="K13" s="17">
        <v>0.01</v>
      </c>
      <c r="AD13" s="211"/>
      <c r="AF13" s="211"/>
      <c r="AH13" s="211"/>
      <c r="AJ13" s="211"/>
      <c r="BX13" s="215">
        <v>96</v>
      </c>
      <c r="BY13" s="216" t="s">
        <v>884</v>
      </c>
      <c r="BZ13" s="215">
        <v>96</v>
      </c>
      <c r="CA13" s="216" t="s">
        <v>804</v>
      </c>
      <c r="CB13" s="215">
        <v>91</v>
      </c>
      <c r="CC13" s="216" t="s">
        <v>805</v>
      </c>
      <c r="CD13" s="215">
        <v>71</v>
      </c>
      <c r="CE13" s="216" t="s">
        <v>806</v>
      </c>
      <c r="CF13" s="215"/>
      <c r="CG13" s="216"/>
      <c r="CH13" s="215">
        <v>24</v>
      </c>
      <c r="CI13" s="216" t="s">
        <v>807</v>
      </c>
    </row>
    <row r="14" spans="1:88" ht="22.5" customHeight="1" x14ac:dyDescent="0.3">
      <c r="F14" s="17">
        <v>2.4209999999999998</v>
      </c>
      <c r="G14" s="17">
        <v>1.81</v>
      </c>
      <c r="H14" s="17">
        <v>2.35E-2</v>
      </c>
      <c r="I14" s="17">
        <v>0.13800000000000001</v>
      </c>
      <c r="J14" s="17">
        <v>6.2E-2</v>
      </c>
      <c r="K14" s="17">
        <v>1.18E-2</v>
      </c>
      <c r="AD14" s="211"/>
      <c r="AF14" s="211"/>
      <c r="AH14" s="211"/>
      <c r="AJ14" s="211"/>
      <c r="BX14" s="215">
        <v>96</v>
      </c>
      <c r="BY14" s="216" t="s">
        <v>883</v>
      </c>
      <c r="BZ14" s="215">
        <v>96</v>
      </c>
      <c r="CA14" s="216" t="s">
        <v>839</v>
      </c>
      <c r="CB14" s="215">
        <v>91</v>
      </c>
      <c r="CC14" s="216" t="s">
        <v>842</v>
      </c>
      <c r="CD14" s="215">
        <v>64</v>
      </c>
      <c r="CE14" s="216" t="s">
        <v>847</v>
      </c>
      <c r="CF14" s="215"/>
      <c r="CG14" s="216"/>
      <c r="CH14" s="215">
        <v>24</v>
      </c>
      <c r="CI14" s="216" t="s">
        <v>808</v>
      </c>
    </row>
    <row r="15" spans="1:88" ht="22.5" customHeight="1" x14ac:dyDescent="0.3">
      <c r="F15" s="17">
        <v>2.5459999999999998</v>
      </c>
      <c r="G15" s="17">
        <v>1.9350000000000001</v>
      </c>
      <c r="H15" s="17">
        <v>2.1999999999999999E-2</v>
      </c>
      <c r="I15" s="17">
        <v>0.16</v>
      </c>
      <c r="J15" s="17">
        <v>6.0999999999999999E-2</v>
      </c>
      <c r="K15" s="17">
        <v>1.0999999999999999E-2</v>
      </c>
      <c r="AD15" s="211"/>
      <c r="AF15" s="211"/>
      <c r="AH15" s="211"/>
      <c r="AJ15" s="211"/>
      <c r="BX15" s="215">
        <v>2</v>
      </c>
      <c r="BY15" s="216" t="s">
        <v>929</v>
      </c>
      <c r="BZ15" s="215">
        <v>96</v>
      </c>
      <c r="CA15" s="216" t="s">
        <v>840</v>
      </c>
      <c r="CB15" s="215">
        <v>91</v>
      </c>
      <c r="CC15" s="216" t="s">
        <v>843</v>
      </c>
      <c r="CD15" s="215">
        <v>71</v>
      </c>
      <c r="CE15" s="216" t="s">
        <v>846</v>
      </c>
      <c r="CF15" s="215"/>
      <c r="CG15" s="216"/>
      <c r="CH15" s="215">
        <v>24</v>
      </c>
      <c r="CI15" s="216" t="s">
        <v>809</v>
      </c>
    </row>
    <row r="16" spans="1:88" ht="22.5" customHeight="1" x14ac:dyDescent="0.3">
      <c r="F16" s="17">
        <v>2.6709999999999998</v>
      </c>
      <c r="G16" s="17">
        <v>2.06</v>
      </c>
      <c r="H16" s="17">
        <v>2.35E-2</v>
      </c>
      <c r="I16" s="17">
        <v>0.14000000000000001</v>
      </c>
      <c r="J16" s="17">
        <v>6.7000000000000004E-2</v>
      </c>
      <c r="K16" s="17">
        <v>1.18E-2</v>
      </c>
      <c r="AD16" s="211"/>
      <c r="AF16" s="211"/>
      <c r="AH16" s="211"/>
      <c r="AJ16" s="211"/>
      <c r="BX16" s="215">
        <v>1</v>
      </c>
      <c r="BY16" s="216" t="s">
        <v>1033</v>
      </c>
      <c r="BZ16" s="215">
        <v>96</v>
      </c>
      <c r="CA16" s="216" t="s">
        <v>841</v>
      </c>
      <c r="CB16" s="215">
        <v>91</v>
      </c>
      <c r="CC16" s="216" t="s">
        <v>844</v>
      </c>
      <c r="CD16" s="215">
        <v>71</v>
      </c>
      <c r="CE16" s="216" t="s">
        <v>845</v>
      </c>
      <c r="CF16" s="215"/>
      <c r="CG16" s="216"/>
      <c r="CH16" s="215">
        <v>57</v>
      </c>
      <c r="CI16" s="216" t="s">
        <v>810</v>
      </c>
    </row>
    <row r="17" spans="6:87" ht="22.5" customHeight="1" x14ac:dyDescent="0.3">
      <c r="F17" s="17">
        <v>2.7959999999999998</v>
      </c>
      <c r="G17" s="17">
        <v>2.1850000000000001</v>
      </c>
      <c r="H17" s="17">
        <v>2.35E-2</v>
      </c>
      <c r="I17" s="17">
        <v>0.14899999999999999</v>
      </c>
      <c r="J17" s="17">
        <v>6.7000000000000004E-2</v>
      </c>
      <c r="K17" s="17">
        <v>1.18E-2</v>
      </c>
      <c r="AD17" s="211"/>
      <c r="AF17" s="211"/>
      <c r="AH17" s="211"/>
      <c r="AJ17" s="211"/>
      <c r="BX17" s="215">
        <v>2</v>
      </c>
      <c r="BY17" s="216" t="s">
        <v>1034</v>
      </c>
      <c r="BZ17" s="215">
        <v>96</v>
      </c>
      <c r="CA17" s="216" t="s">
        <v>930</v>
      </c>
      <c r="CB17" s="215">
        <v>91</v>
      </c>
      <c r="CC17" s="216" t="s">
        <v>931</v>
      </c>
      <c r="CD17" s="215">
        <v>65</v>
      </c>
      <c r="CE17" s="216" t="s">
        <v>932</v>
      </c>
      <c r="CF17" s="215"/>
      <c r="CG17" s="216"/>
      <c r="CH17" s="215">
        <v>57</v>
      </c>
      <c r="CI17" s="216" t="s">
        <v>811</v>
      </c>
    </row>
    <row r="18" spans="6:87" ht="22.5" customHeight="1" x14ac:dyDescent="0.3">
      <c r="F18" s="17">
        <v>2.9209999999999998</v>
      </c>
      <c r="G18" s="17">
        <v>2.31</v>
      </c>
      <c r="H18" s="17">
        <v>2.35E-2</v>
      </c>
      <c r="I18" s="17">
        <v>0.156</v>
      </c>
      <c r="J18" s="17">
        <v>6.7000000000000004E-2</v>
      </c>
      <c r="K18" s="17">
        <v>1.18E-2</v>
      </c>
      <c r="AD18" s="211"/>
      <c r="AF18" s="211"/>
      <c r="AH18" s="211"/>
      <c r="AJ18" s="211"/>
      <c r="BX18" s="215">
        <v>2</v>
      </c>
      <c r="BY18" s="216" t="s">
        <v>1035</v>
      </c>
      <c r="BZ18" s="215">
        <v>96</v>
      </c>
      <c r="CA18" s="216" t="s">
        <v>1036</v>
      </c>
      <c r="CB18" s="215">
        <v>91</v>
      </c>
      <c r="CC18" s="216" t="s">
        <v>1037</v>
      </c>
      <c r="CD18" s="215">
        <v>64</v>
      </c>
      <c r="CE18" s="216" t="s">
        <v>1038</v>
      </c>
      <c r="CF18" s="215"/>
      <c r="CG18" s="216"/>
      <c r="CH18" s="215">
        <v>24</v>
      </c>
      <c r="CI18" s="216" t="s">
        <v>812</v>
      </c>
    </row>
    <row r="19" spans="6:87" ht="22.5" customHeight="1" x14ac:dyDescent="0.3">
      <c r="F19" s="17">
        <v>3.0459999999999998</v>
      </c>
      <c r="G19" s="17">
        <v>2.4350000000000001</v>
      </c>
      <c r="H19" s="17">
        <v>0.02</v>
      </c>
      <c r="I19" s="17">
        <v>0.13500000000000001</v>
      </c>
      <c r="J19" s="17">
        <v>5.8999999999999997E-2</v>
      </c>
      <c r="K19" s="17">
        <v>0.01</v>
      </c>
      <c r="AD19" s="211"/>
      <c r="AF19" s="211"/>
      <c r="AH19" s="211"/>
      <c r="AJ19" s="211"/>
      <c r="BX19" s="215">
        <v>1</v>
      </c>
      <c r="BY19" s="216" t="s">
        <v>1313</v>
      </c>
      <c r="BZ19" s="215">
        <v>92</v>
      </c>
      <c r="CA19" s="216" t="s">
        <v>1314</v>
      </c>
      <c r="CB19" s="215">
        <v>91</v>
      </c>
      <c r="CC19" s="216" t="s">
        <v>1315</v>
      </c>
      <c r="CD19" s="215">
        <v>64</v>
      </c>
      <c r="CE19" s="216" t="s">
        <v>1316</v>
      </c>
      <c r="CF19" s="215"/>
      <c r="CG19" s="216"/>
      <c r="CH19" s="215">
        <v>24</v>
      </c>
      <c r="CI19" s="216" t="s">
        <v>813</v>
      </c>
    </row>
    <row r="20" spans="6:87" ht="22.5" customHeight="1" x14ac:dyDescent="0.3">
      <c r="F20" s="17">
        <v>3.1709999999999998</v>
      </c>
      <c r="G20" s="17">
        <v>2.56</v>
      </c>
      <c r="AD20" s="211"/>
      <c r="AF20" s="211"/>
      <c r="AH20" s="211"/>
      <c r="AJ20" s="211"/>
      <c r="BX20" s="215">
        <v>1</v>
      </c>
      <c r="BY20" s="216" t="s">
        <v>1317</v>
      </c>
      <c r="BZ20" s="215">
        <v>96</v>
      </c>
      <c r="CA20" s="216" t="s">
        <v>1318</v>
      </c>
      <c r="CB20" s="215">
        <v>91</v>
      </c>
      <c r="CC20" s="216" t="s">
        <v>1319</v>
      </c>
      <c r="CD20" s="215">
        <v>64</v>
      </c>
      <c r="CE20" s="216" t="s">
        <v>1320</v>
      </c>
      <c r="CF20" s="215"/>
      <c r="CG20" s="216"/>
      <c r="CH20" s="215">
        <v>57</v>
      </c>
      <c r="CI20" s="216" t="s">
        <v>814</v>
      </c>
    </row>
    <row r="21" spans="6:87" ht="22.5" customHeight="1" x14ac:dyDescent="0.3">
      <c r="F21" s="17">
        <v>3.2959999999999998</v>
      </c>
      <c r="G21" s="17">
        <v>2.6850000000000001</v>
      </c>
      <c r="BX21" s="215">
        <v>2</v>
      </c>
      <c r="BY21" s="216" t="s">
        <v>1321</v>
      </c>
      <c r="BZ21" s="215">
        <v>92</v>
      </c>
      <c r="CA21" s="216" t="s">
        <v>1322</v>
      </c>
      <c r="CB21" s="215">
        <v>91</v>
      </c>
      <c r="CC21" s="216" t="s">
        <v>1323</v>
      </c>
      <c r="CD21" s="215">
        <v>65</v>
      </c>
      <c r="CE21" s="216" t="s">
        <v>1324</v>
      </c>
      <c r="CF21" s="215"/>
      <c r="CG21" s="216"/>
      <c r="CH21" s="215">
        <v>57</v>
      </c>
      <c r="CI21" s="216" t="s">
        <v>815</v>
      </c>
    </row>
    <row r="22" spans="6:87" ht="22.5" customHeight="1" x14ac:dyDescent="0.3">
      <c r="F22" s="17">
        <v>3.4209999999999998</v>
      </c>
      <c r="G22" s="17">
        <v>2.81</v>
      </c>
      <c r="BX22" s="215">
        <v>1</v>
      </c>
      <c r="BY22" s="216" t="s">
        <v>1325</v>
      </c>
      <c r="BZ22" s="215"/>
      <c r="CA22" s="215"/>
      <c r="CB22" s="215"/>
      <c r="CC22" s="215"/>
      <c r="CD22" s="215"/>
      <c r="CE22" s="215"/>
      <c r="CF22" s="215"/>
      <c r="CG22" s="216"/>
      <c r="CH22" s="215">
        <v>57</v>
      </c>
      <c r="CI22" s="216" t="s">
        <v>816</v>
      </c>
    </row>
    <row r="23" spans="6:87" ht="22.5" customHeight="1" x14ac:dyDescent="0.3">
      <c r="F23" s="17">
        <v>3.5459999999999998</v>
      </c>
      <c r="G23" s="17">
        <v>2.9350000000000001</v>
      </c>
      <c r="BX23" s="215">
        <v>1</v>
      </c>
      <c r="BY23" s="216" t="s">
        <v>1326</v>
      </c>
      <c r="BZ23" s="215"/>
      <c r="CA23" s="215"/>
      <c r="CB23" s="215"/>
      <c r="CC23" s="215"/>
      <c r="CD23" s="215"/>
      <c r="CE23" s="215"/>
      <c r="CF23" s="215"/>
      <c r="CG23" s="216"/>
      <c r="CH23" s="215">
        <v>57</v>
      </c>
      <c r="CI23" s="216" t="s">
        <v>817</v>
      </c>
    </row>
    <row r="24" spans="6:87" ht="22.5" customHeight="1" x14ac:dyDescent="0.3">
      <c r="F24" s="17">
        <v>3.6709999999999998</v>
      </c>
      <c r="G24" s="17">
        <v>3.06</v>
      </c>
      <c r="CH24" s="215">
        <v>57</v>
      </c>
      <c r="CI24" s="216" t="s">
        <v>848</v>
      </c>
    </row>
    <row r="25" spans="6:87" ht="22.5" customHeight="1" x14ac:dyDescent="0.3">
      <c r="F25" s="17">
        <v>3.7959999999999998</v>
      </c>
      <c r="G25" s="17">
        <v>3.1850000000000001</v>
      </c>
      <c r="CH25" s="215">
        <v>57</v>
      </c>
      <c r="CI25" s="216" t="s">
        <v>849</v>
      </c>
    </row>
    <row r="26" spans="6:87" ht="22.5" customHeight="1" x14ac:dyDescent="0.3">
      <c r="F26" s="17">
        <v>3.9209999999999998</v>
      </c>
      <c r="G26" s="17">
        <v>3.31</v>
      </c>
      <c r="CH26" s="215">
        <v>24</v>
      </c>
      <c r="CI26" s="216" t="s">
        <v>850</v>
      </c>
    </row>
    <row r="27" spans="6:87" ht="22.5" customHeight="1" x14ac:dyDescent="0.3">
      <c r="F27" s="17">
        <v>4.0460000000000003</v>
      </c>
      <c r="G27" s="17">
        <v>3.4350000000000001</v>
      </c>
      <c r="CH27" s="215">
        <v>24</v>
      </c>
      <c r="CI27" s="216" t="s">
        <v>851</v>
      </c>
    </row>
    <row r="28" spans="6:87" ht="22.5" customHeight="1" x14ac:dyDescent="0.3">
      <c r="CH28" s="215">
        <v>57</v>
      </c>
      <c r="CI28" s="216" t="s">
        <v>852</v>
      </c>
    </row>
    <row r="29" spans="6:87" ht="22.5" customHeight="1" x14ac:dyDescent="0.3">
      <c r="CH29" s="215">
        <v>57</v>
      </c>
      <c r="CI29" s="216" t="s">
        <v>853</v>
      </c>
    </row>
    <row r="30" spans="6:87" ht="22.5" customHeight="1" x14ac:dyDescent="0.3">
      <c r="CH30" s="215">
        <v>57</v>
      </c>
      <c r="CI30" s="216" t="s">
        <v>854</v>
      </c>
    </row>
    <row r="31" spans="6:87" ht="22.5" customHeight="1" x14ac:dyDescent="0.3">
      <c r="CH31" s="215">
        <v>57</v>
      </c>
      <c r="CI31" s="216" t="s">
        <v>855</v>
      </c>
    </row>
    <row r="32" spans="6:87" ht="22.5" customHeight="1" x14ac:dyDescent="0.3">
      <c r="CH32" s="215">
        <v>57</v>
      </c>
      <c r="CI32" s="216" t="s">
        <v>1327</v>
      </c>
    </row>
    <row r="33" spans="86:87" ht="22.5" customHeight="1" x14ac:dyDescent="0.3">
      <c r="CH33" s="215">
        <v>57</v>
      </c>
      <c r="CI33" s="216" t="s">
        <v>1328</v>
      </c>
    </row>
    <row r="34" spans="86:87" ht="22.5" customHeight="1" x14ac:dyDescent="0.3">
      <c r="CH34" s="215">
        <v>40</v>
      </c>
      <c r="CI34" s="216" t="s">
        <v>959</v>
      </c>
    </row>
    <row r="35" spans="86:87" ht="22.5" customHeight="1" x14ac:dyDescent="0.3">
      <c r="CH35" s="215">
        <v>40</v>
      </c>
      <c r="CI35" s="216" t="s">
        <v>1039</v>
      </c>
    </row>
    <row r="36" spans="86:87" ht="22.5" customHeight="1" x14ac:dyDescent="0.3">
      <c r="CH36" s="215">
        <v>40</v>
      </c>
      <c r="CI36" s="216" t="s">
        <v>1329</v>
      </c>
    </row>
    <row r="37" spans="86:87" ht="22.5" customHeight="1" x14ac:dyDescent="0.3">
      <c r="CH37" s="215">
        <v>40</v>
      </c>
      <c r="CI37" s="216" t="s">
        <v>1330</v>
      </c>
    </row>
    <row r="38" spans="86:87" ht="22.5" customHeight="1" x14ac:dyDescent="0.3">
      <c r="CH38" s="215">
        <v>40</v>
      </c>
      <c r="CI38" s="216" t="s">
        <v>1331</v>
      </c>
    </row>
    <row r="39" spans="86:87" ht="22.5" customHeight="1" x14ac:dyDescent="0.3">
      <c r="CH39" s="215">
        <v>40</v>
      </c>
      <c r="CI39" s="216" t="s">
        <v>1332</v>
      </c>
    </row>
    <row r="40" spans="86:87" ht="22.5" customHeight="1" x14ac:dyDescent="0.3">
      <c r="CH40" s="215">
        <v>40</v>
      </c>
      <c r="CI40" s="216" t="s">
        <v>1333</v>
      </c>
    </row>
    <row r="41" spans="86:87" ht="22.5" customHeight="1" x14ac:dyDescent="0.3">
      <c r="CH41" s="215">
        <v>40</v>
      </c>
      <c r="CI41" s="216" t="s">
        <v>1334</v>
      </c>
    </row>
    <row r="42" spans="86:87" ht="22.5" customHeight="1" x14ac:dyDescent="0.3"/>
    <row r="43" spans="86:87" ht="22.5" customHeight="1" x14ac:dyDescent="0.3"/>
    <row r="44" spans="86:87" ht="22.5" customHeight="1" x14ac:dyDescent="0.3"/>
    <row r="45" spans="86:87" ht="22.5" customHeight="1" x14ac:dyDescent="0.3"/>
    <row r="46" spans="86:87" ht="22.5" customHeight="1" x14ac:dyDescent="0.3"/>
    <row r="47" spans="86:87" ht="22.5" customHeight="1" x14ac:dyDescent="0.3"/>
    <row r="48" spans="86:87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140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H97"/>
  <sheetViews>
    <sheetView showZeros="0" zoomScaleNormal="100" zoomScaleSheetLayoutView="100" workbookViewId="0">
      <selection activeCell="J10" sqref="J10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1.5546875" style="17" customWidth="1"/>
    <col min="4" max="4" width="4.5546875" style="17" customWidth="1"/>
    <col min="5" max="5" width="19.5546875" style="17" bestFit="1" customWidth="1"/>
    <col min="6" max="6" width="5.88671875" style="17" customWidth="1"/>
    <col min="7" max="7" width="18.33203125" style="17"/>
    <col min="8" max="8" width="7.6640625" style="17" customWidth="1"/>
    <col min="9" max="9" width="19.88671875" style="17" bestFit="1" customWidth="1"/>
    <col min="10" max="10" width="28.5546875" style="17" customWidth="1"/>
    <col min="11" max="58" width="18.33203125" style="17"/>
    <col min="59" max="59" width="18.33203125" style="24"/>
    <col min="60" max="16384" width="18.33203125" style="14"/>
  </cols>
  <sheetData>
    <row r="1" spans="1:60" s="139" customFormat="1" x14ac:dyDescent="0.3">
      <c r="A1" s="26" t="s">
        <v>145</v>
      </c>
      <c r="B1" s="50" t="str">
        <f t="shared" ref="B1:G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  | M | S | K | C | F | B | ...</v>
      </c>
      <c r="C1" s="50" t="str">
        <f t="shared" si="0"/>
        <v/>
      </c>
      <c r="D1" s="50" t="str">
        <f t="shared" si="0"/>
        <v xml:space="preserve">  | ST | ES | AL | XX</v>
      </c>
      <c r="E1" s="50" t="str">
        <f t="shared" si="0"/>
        <v/>
      </c>
      <c r="F1" s="50" t="str">
        <f t="shared" si="0"/>
        <v xml:space="preserve">  | - | B | S | T | P | N | L | ...</v>
      </c>
      <c r="G1" s="50" t="str">
        <f t="shared" si="0"/>
        <v/>
      </c>
      <c r="H1" s="50" t="str">
        <f>IF(H$5="","",IF(INDEX(VALUESLIST,2,COLUMN(H1)-1)="","",INDEX(VALUESLIST,2,COLUMN(H1)-1)) &amp; IF(INDEX(VALUESLIST,3,COLUMN(H1)-1)="","",DV&amp;INDEX(VALUESLIST,3,COLUMN(H1)-1)) &amp; IF(INDEX(VALUESLIST,4,COLUMN(H1)-1)="","",DV&amp;INDEX(VALUESLIST,4,COLUMN(H1)-1)) &amp; IF(INDEX(VALUESLIST,5,COLUMN(H1)-1)="","",DV&amp;INDEX(VALUESLIST,5,COLUMN(H1)-1)) &amp; IF(INDEX(VALUESLIST,6,COLUMN(H1)-1)="","",DV&amp;INDEX(VALUESLIST,6,COLUMN(H1)-1)) &amp; IF(INDEX(VALUESLIST,7,COLUMN(H1)-1)="","",DV&amp;INDEX(VALUESLIST,7,COLUMN(H1)-1)) &amp; IF(INDEX(VALUESLIST,8,COLUMN(H1)-1)="","",DV&amp;INDEX(VALUESLIST,8,COLUMN(H1)-1)) &amp; IF(INDEX(VALUESLIST,9,COLUMN(H1)-1)="","",DV&amp;INDEX(VALUESLIST,9,COLUMN(H1)-1)) &amp; IF(INDEX(VALUESLIST,10,COLUMN(H1)-1)="","",DV&amp;"..."))</f>
        <v>- | ZS | BS | BGS</v>
      </c>
      <c r="I1" s="50" t="str">
        <f>IF(I$5="","",IF(INDEX(VALUESLIST,2,COLUMN(I1)-1)="","",INDEX(VALUESLIST,2,COLUMN(I1)-1)) &amp; IF(INDEX(VALUESLIST,3,COLUMN(I1)-1)="","",DV&amp;INDEX(VALUESLIST,3,COLUMN(I1)-1)) &amp; IF(INDEX(VALUESLIST,4,COLUMN(I1)-1)="","",DV&amp;INDEX(VALUESLIST,4,COLUMN(I1)-1)) &amp; IF(INDEX(VALUESLIST,5,COLUMN(I1)-1)="","",DV&amp;INDEX(VALUESLIST,5,COLUMN(I1)-1)) &amp; IF(INDEX(VALUESLIST,6,COLUMN(I1)-1)="","",DV&amp;INDEX(VALUESLIST,6,COLUMN(I1)-1)) &amp; IF(INDEX(VALUESLIST,7,COLUMN(I1)-1)="","",DV&amp;INDEX(VALUESLIST,7,COLUMN(I1)-1)) &amp; IF(INDEX(VALUESLIST,8,COLUMN(I1)-1)="","",DV&amp;INDEX(VALUESLIST,8,COLUMN(I1)-1)) &amp; IF(INDEX(VALUESLIST,9,COLUMN(I1)-1)="","",DV&amp;INDEX(VALUESLIST,9,COLUMN(I1)-1)) &amp; IF(INDEX(VALUESLIST,10,COLUMN(I1)-1)="","",DV&amp;"..."))</f>
        <v/>
      </c>
      <c r="J1" s="50" t="str">
        <f>IF(J$5="","",IF(INDEX(VALUESLIST,2,COLUMN(J1)-1)="","",INDEX(VALUESLIST,2,COLUMN(J1)-1)) &amp; IF(INDEX(VALUESLIST,3,COLUMN(J1)-1)="","",DV&amp;INDEX(VALUESLIST,3,COLUMN(J1)-1)) &amp; IF(INDEX(VALUESLIST,4,COLUMN(J1)-1)="","",DV&amp;INDEX(VALUESLIST,4,COLUMN(J1)-1)) &amp; IF(INDEX(VALUESLIST,5,COLUMN(J1)-1)="","",DV&amp;INDEX(VALUESLIST,5,COLUMN(J1)-1)) &amp; IF(INDEX(VALUESLIST,6,COLUMN(J1)-1)="","",DV&amp;INDEX(VALUESLIST,6,COLUMN(J1)-1)) &amp; IF(INDEX(VALUESLIST,7,COLUMN(J1)-1)="","",DV&amp;INDEX(VALUESLIST,7,COLUMN(J1)-1)) &amp; IF(INDEX(VALUESLIST,8,COLUMN(J1)-1)="","",DV&amp;INDEX(VALUESLIST,8,COLUMN(J1)-1)) &amp; IF(INDEX(VALUESLIST,9,COLUMN(J1)-1)="","",DV&amp;INDEX(VALUESLIST,9,COLUMN(J1)-1)) &amp; IF(INDEX(VALUESLIST,10,COLUMN(J1)-1)="","",DV&amp;"..."))</f>
        <v>c-lever compact | c-lever 29x4 | c-lever 29x5 | c-lever pro HAC | c-lever pro HBC</v>
      </c>
      <c r="K1" s="50" t="str">
        <f>IF(K$5="","",IF(INDEX(VALUESLIST,2,COLUMN(K1)-1)="","",INDEX(VALUESLIST,2,COLUMN(K1)-1)) &amp; IF(INDEX(VALUESLIST,3,COLUMN(K1)-1)="","",DV&amp;INDEX(VALUESLIST,3,COLUMN(K1)-1)) &amp; IF(INDEX(VALUESLIST,4,COLUMN(K1)-1)="","",DV&amp;INDEX(VALUESLIST,4,COLUMN(K1)-1)) &amp; IF(INDEX(VALUESLIST,5,COLUMN(K1)-1)="","",DV&amp;INDEX(VALUESLIST,5,COLUMN(K1)-1)) &amp; IF(INDEX(VALUESLIST,6,COLUMN(K1)-1)="","",DV&amp;INDEX(VALUESLIST,6,COLUMN(K1)-1)) &amp; IF(INDEX(VALUESLIST,7,COLUMN(K1)-1)="","",DV&amp;INDEX(VALUESLIST,7,COLUMN(K1)-1)) &amp; IF(INDEX(VALUESLIST,8,COLUMN(K1)-1)="","",DV&amp;INDEX(VALUESLIST,8,COLUMN(K1)-1)) &amp; IF(INDEX(VALUESLIST,9,COLUMN(K1)-1)="","",DV&amp;INDEX(VALUESLIST,9,COLUMN(K1)-1)) &amp; IF(INDEX(VALUESLIST,10,COLUMN(K1)-1)="","",DV&amp;"..."))</f>
        <v/>
      </c>
      <c r="L1" s="50" t="str">
        <f t="shared" ref="L1:BE1" si="1">IF(L$5="","",IF(INDEX(VALUESLIST,2,COLUMN(L1)-1)="","",INDEX(VALUESLIST,2,COLUMN(L1)-1)) &amp; IF(INDEX(VALUESLIST,3,COLUMN(L1)-1)="","",DV&amp;INDEX(VALUESLIST,3,COLUMN(L1)-1)) &amp; IF(INDEX(VALUESLIST,4,COLUMN(L1)-1)="","",DV&amp;INDEX(VALUESLIST,4,COLUMN(L1)-1)) &amp; IF(INDEX(VALUESLIST,5,COLUMN(L1)-1)="","",DV&amp;INDEX(VALUESLIST,5,COLUMN(L1)-1)) &amp; IF(INDEX(VALUESLIST,6,COLUMN(L1)-1)="","",DV&amp;INDEX(VALUESLIST,6,COLUMN(L1)-1)) &amp; IF(INDEX(VALUESLIST,7,COLUMN(L1)-1)="","",DV&amp;INDEX(VALUESLIST,7,COLUMN(L1)-1)) &amp; IF(INDEX(VALUESLIST,8,COLUMN(L1)-1)="","",DV&amp;INDEX(VALUESLIST,8,COLUMN(L1)-1)) &amp; IF(INDEX(VALUESLIST,9,COLUMN(L1)-1)="","",DV&amp;INDEX(VALUESLIST,9,COLUMN(L1)-1)) &amp; IF(INDEX(VALUESLIST,10,COLUMN(L1)-1)="","",DV&amp;"..."))</f>
        <v/>
      </c>
      <c r="M1" s="50" t="str">
        <f t="shared" si="1"/>
        <v/>
      </c>
      <c r="N1" s="50" t="str">
        <f t="shared" si="1"/>
        <v/>
      </c>
      <c r="O1" s="50" t="str">
        <f t="shared" si="1"/>
        <v/>
      </c>
      <c r="P1" s="50" t="str">
        <f t="shared" si="1"/>
        <v/>
      </c>
      <c r="Q1" s="50" t="str">
        <f t="shared" si="1"/>
        <v/>
      </c>
      <c r="R1" s="50" t="str">
        <f t="shared" si="1"/>
        <v/>
      </c>
      <c r="S1" s="50" t="str">
        <f t="shared" si="1"/>
        <v/>
      </c>
      <c r="T1" s="50" t="str">
        <f t="shared" si="1"/>
        <v/>
      </c>
      <c r="U1" s="50" t="str">
        <f t="shared" si="1"/>
        <v/>
      </c>
      <c r="V1" s="50" t="str">
        <f t="shared" si="1"/>
        <v/>
      </c>
      <c r="W1" s="50" t="str">
        <f t="shared" si="1"/>
        <v/>
      </c>
      <c r="X1" s="50" t="str">
        <f t="shared" si="1"/>
        <v/>
      </c>
      <c r="Y1" s="50" t="str">
        <f t="shared" si="1"/>
        <v/>
      </c>
      <c r="Z1" s="50" t="str">
        <f t="shared" si="1"/>
        <v/>
      </c>
      <c r="AA1" s="50" t="str">
        <f t="shared" si="1"/>
        <v/>
      </c>
      <c r="AB1" s="50" t="str">
        <f t="shared" si="1"/>
        <v/>
      </c>
      <c r="AC1" s="50" t="str">
        <f t="shared" si="1"/>
        <v/>
      </c>
      <c r="AD1" s="50" t="str">
        <f t="shared" si="1"/>
        <v/>
      </c>
      <c r="AE1" s="50" t="str">
        <f t="shared" si="1"/>
        <v/>
      </c>
      <c r="AF1" s="50" t="str">
        <f t="shared" si="1"/>
        <v/>
      </c>
      <c r="AG1" s="50" t="str">
        <f t="shared" si="1"/>
        <v/>
      </c>
      <c r="AH1" s="50" t="str">
        <f t="shared" si="1"/>
        <v/>
      </c>
      <c r="AI1" s="50" t="str">
        <f t="shared" si="1"/>
        <v/>
      </c>
      <c r="AJ1" s="50" t="str">
        <f t="shared" si="1"/>
        <v/>
      </c>
      <c r="AK1" s="50" t="str">
        <f t="shared" si="1"/>
        <v/>
      </c>
      <c r="AL1" s="50" t="str">
        <f t="shared" si="1"/>
        <v/>
      </c>
      <c r="AM1" s="50" t="str">
        <f t="shared" si="1"/>
        <v/>
      </c>
      <c r="AN1" s="50" t="str">
        <f t="shared" si="1"/>
        <v/>
      </c>
      <c r="AO1" s="50" t="str">
        <f t="shared" si="1"/>
        <v/>
      </c>
      <c r="AP1" s="50" t="str">
        <f t="shared" si="1"/>
        <v/>
      </c>
      <c r="AQ1" s="50" t="str">
        <f t="shared" si="1"/>
        <v/>
      </c>
      <c r="AR1" s="50" t="str">
        <f t="shared" si="1"/>
        <v/>
      </c>
      <c r="AS1" s="50" t="str">
        <f t="shared" si="1"/>
        <v/>
      </c>
      <c r="AT1" s="50" t="str">
        <f t="shared" si="1"/>
        <v/>
      </c>
      <c r="AU1" s="50" t="str">
        <f t="shared" si="1"/>
        <v/>
      </c>
      <c r="AV1" s="50" t="str">
        <f t="shared" si="1"/>
        <v/>
      </c>
      <c r="AW1" s="50" t="str">
        <f t="shared" si="1"/>
        <v/>
      </c>
      <c r="AX1" s="50" t="str">
        <f t="shared" si="1"/>
        <v/>
      </c>
      <c r="AY1" s="50" t="str">
        <f t="shared" si="1"/>
        <v/>
      </c>
      <c r="AZ1" s="50" t="str">
        <f t="shared" si="1"/>
        <v/>
      </c>
      <c r="BA1" s="50" t="str">
        <f t="shared" si="1"/>
        <v/>
      </c>
      <c r="BB1" s="50" t="str">
        <f t="shared" si="1"/>
        <v/>
      </c>
      <c r="BC1" s="50" t="str">
        <f t="shared" si="1"/>
        <v/>
      </c>
      <c r="BD1" s="50" t="str">
        <f t="shared" si="1"/>
        <v/>
      </c>
      <c r="BE1" s="50" t="str">
        <f t="shared" si="1"/>
        <v/>
      </c>
      <c r="BF1" s="50" t="str">
        <f>IF(BF$5="","",IF(INDEX(VALUESLIST,2,COLUMN(BF1)-1)="","",INDEX(VALUESLIST,2,COLUMN(BF1)-1)) &amp; IF(INDEX(VALUESLIST,3,COLUMN(BF1)-1)="","",DV&amp;INDEX(VALUESLIST,3,COLUMN(BF1)-1)) &amp; IF(INDEX(VALUESLIST,4,COLUMN(BF1)-1)="","",DV&amp;INDEX(VALUESLIST,4,COLUMN(BF1)-1)) &amp; IF(INDEX(VALUESLIST,5,COLUMN(BF1)-1)="","",DV&amp;INDEX(VALUESLIST,5,COLUMN(BF1)-1)) &amp; IF(INDEX(VALUESLIST,6,COLUMN(BF1)-1)="","",DV&amp;INDEX(VALUESLIST,6,COLUMN(BF1)-1)) &amp; IF(INDEX(VALUESLIST,7,COLUMN(BF1)-1)="","",DV&amp;INDEX(VALUESLIST,7,COLUMN(BF1)-1)) &amp; IF(INDEX(VALUESLIST,8,COLUMN(BF1)-1)="","",DV&amp;INDEX(VALUESLIST,8,COLUMN(BF1)-1)) &amp; IF(INDEX(VALUESLIST,9,COLUMN(BF1)-1)="","",DV&amp;INDEX(VALUESLIST,9,COLUMN(BF1)-1)) &amp; IF(INDEX(VALUESLIST,10,COLUMN(BF1)-1)="","",DV&amp;"..."))</f>
        <v>0 | 1 | 2 | 3 | 4 | 5 | 6 | 7 | ...</v>
      </c>
      <c r="BG1" s="94" t="s">
        <v>88</v>
      </c>
    </row>
    <row r="2" spans="1:60" x14ac:dyDescent="0.3">
      <c r="A2" s="27" t="s">
        <v>146</v>
      </c>
      <c r="B2" s="34" t="str">
        <f t="shared" ref="B2:L2" si="2">IF(B$3="-","-",IF(B$3=A$3,A$2+1,1))</f>
        <v>-</v>
      </c>
      <c r="C2" s="34" t="str">
        <f t="shared" si="2"/>
        <v>-</v>
      </c>
      <c r="D2" s="34" t="str">
        <f>IF(D$3="-","-",IF(D$3=#REF!,#REF!+1,1))</f>
        <v>-</v>
      </c>
      <c r="E2" s="34" t="str">
        <f>IF(E$3="-","-",IF(E$3=D$3,D$2+1,1))</f>
        <v>-</v>
      </c>
      <c r="F2" s="34" t="str">
        <f>IF(F$3="-","-",IF(F$3=E$3,E$2+1,1))</f>
        <v>-</v>
      </c>
      <c r="G2" s="34" t="str">
        <f>IF(G$3="-","-",IF(G$3=F$3,F$2+1,1))</f>
        <v>-</v>
      </c>
      <c r="H2" s="34" t="str">
        <f>IF(H$3="-","-",IF(H$3=#REF!,#REF!+1,1))</f>
        <v>-</v>
      </c>
      <c r="I2" s="34" t="str">
        <f t="shared" si="2"/>
        <v>-</v>
      </c>
      <c r="J2" s="34" t="str">
        <f t="shared" si="2"/>
        <v>-</v>
      </c>
      <c r="K2" s="34" t="str">
        <f t="shared" si="2"/>
        <v>-</v>
      </c>
      <c r="L2" s="34" t="str">
        <f t="shared" si="2"/>
        <v>-</v>
      </c>
      <c r="M2" s="34" t="str">
        <f>IF(M$3="-","-",IF(M$3=G$3,G$2+1,1))</f>
        <v>-</v>
      </c>
      <c r="N2" s="34" t="str">
        <f>IF(N$3="-","-",IF(N$3=#REF!,#REF!+1,1))</f>
        <v>-</v>
      </c>
      <c r="O2" s="34" t="str">
        <f>IF(O$3="-","-",IF(O$3=#REF!,#REF!+1,1))</f>
        <v>-</v>
      </c>
      <c r="P2" s="34" t="str">
        <f t="shared" ref="P2:BF2" si="3">IF(P$3="-","-",IF(P$3=O$3,O$2+1,1))</f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 t="shared" si="3"/>
        <v>-</v>
      </c>
      <c r="Z2" s="34" t="str">
        <f t="shared" si="3"/>
        <v>-</v>
      </c>
      <c r="AA2" s="34" t="str">
        <f t="shared" si="3"/>
        <v>-</v>
      </c>
      <c r="AB2" s="34" t="str">
        <f t="shared" si="3"/>
        <v>-</v>
      </c>
      <c r="AC2" s="34" t="str">
        <f t="shared" si="3"/>
        <v>-</v>
      </c>
      <c r="AD2" s="34" t="str">
        <f t="shared" si="3"/>
        <v>-</v>
      </c>
      <c r="AE2" s="34" t="str">
        <f t="shared" si="3"/>
        <v>-</v>
      </c>
      <c r="AF2" s="34" t="str">
        <f t="shared" si="3"/>
        <v>-</v>
      </c>
      <c r="AG2" s="34" t="str">
        <f t="shared" si="3"/>
        <v>-</v>
      </c>
      <c r="AH2" s="34" t="str">
        <f t="shared" si="3"/>
        <v>-</v>
      </c>
      <c r="AI2" s="34" t="str">
        <f t="shared" si="3"/>
        <v>-</v>
      </c>
      <c r="AJ2" s="34" t="str">
        <f t="shared" si="3"/>
        <v>-</v>
      </c>
      <c r="AK2" s="34" t="str">
        <f t="shared" si="3"/>
        <v>-</v>
      </c>
      <c r="AL2" s="34" t="str">
        <f t="shared" si="3"/>
        <v>-</v>
      </c>
      <c r="AM2" s="34" t="str">
        <f t="shared" si="3"/>
        <v>-</v>
      </c>
      <c r="AN2" s="34" t="str">
        <f t="shared" si="3"/>
        <v>-</v>
      </c>
      <c r="AO2" s="34" t="str">
        <f t="shared" si="3"/>
        <v>-</v>
      </c>
      <c r="AP2" s="34" t="str">
        <f t="shared" si="3"/>
        <v>-</v>
      </c>
      <c r="AQ2" s="34" t="str">
        <f t="shared" si="3"/>
        <v>-</v>
      </c>
      <c r="AR2" s="34" t="str">
        <f t="shared" si="3"/>
        <v>-</v>
      </c>
      <c r="AS2" s="34" t="str">
        <f t="shared" si="3"/>
        <v>-</v>
      </c>
      <c r="AT2" s="34" t="str">
        <f t="shared" si="3"/>
        <v>-</v>
      </c>
      <c r="AU2" s="34" t="str">
        <f t="shared" si="3"/>
        <v>-</v>
      </c>
      <c r="AV2" s="34" t="str">
        <f t="shared" si="3"/>
        <v>-</v>
      </c>
      <c r="AW2" s="34" t="str">
        <f t="shared" si="3"/>
        <v>-</v>
      </c>
      <c r="AX2" s="34" t="str">
        <f t="shared" si="3"/>
        <v>-</v>
      </c>
      <c r="AY2" s="34" t="str">
        <f t="shared" si="3"/>
        <v>-</v>
      </c>
      <c r="AZ2" s="34" t="str">
        <f t="shared" si="3"/>
        <v>-</v>
      </c>
      <c r="BA2" s="34" t="str">
        <f t="shared" si="3"/>
        <v>-</v>
      </c>
      <c r="BB2" s="34" t="str">
        <f t="shared" si="3"/>
        <v>-</v>
      </c>
      <c r="BC2" s="34" t="str">
        <f t="shared" si="3"/>
        <v>-</v>
      </c>
      <c r="BD2" s="34" t="str">
        <f t="shared" si="3"/>
        <v>-</v>
      </c>
      <c r="BE2" s="34" t="str">
        <f t="shared" si="3"/>
        <v>-</v>
      </c>
      <c r="BF2" s="34" t="str">
        <f t="shared" si="3"/>
        <v>-</v>
      </c>
      <c r="BG2" s="94"/>
    </row>
    <row r="3" spans="1:60" x14ac:dyDescent="0.3">
      <c r="A3" s="27" t="s">
        <v>147</v>
      </c>
      <c r="B3" s="50" t="str">
        <f t="shared" ref="B3:G3" si="4">IF(B$5="",A$3,IFERROR(MATCH(B$5,prodArrayNames,0),"-"))</f>
        <v>-</v>
      </c>
      <c r="C3" s="50" t="str">
        <f>IF(C$5="",B$3,IFERROR(MATCH(C$5,prodArrayNames,0),"-"))</f>
        <v>-</v>
      </c>
      <c r="D3" s="50" t="str">
        <f>IF(D$5="",#REF!,IFERROR(MATCH(D$5,prodArrayNames,0),"-"))</f>
        <v>-</v>
      </c>
      <c r="E3" s="50" t="str">
        <f t="shared" si="4"/>
        <v>-</v>
      </c>
      <c r="F3" s="50" t="str">
        <f t="shared" si="4"/>
        <v>-</v>
      </c>
      <c r="G3" s="50" t="str">
        <f t="shared" si="4"/>
        <v>-</v>
      </c>
      <c r="H3" s="50" t="str">
        <f>IF(H$5="",#REF!,IFERROR(MATCH(H$5,prodArrayNames,0),"-"))</f>
        <v>-</v>
      </c>
      <c r="I3" s="50" t="str">
        <f>IF(I$5="",H$3,IFERROR(MATCH(I$5,prodArrayNames,0),"-"))</f>
        <v>-</v>
      </c>
      <c r="J3" s="50" t="str">
        <f>IF(J$5="",I$3,IFERROR(MATCH(J$5,prodArrayNames,0),"-"))</f>
        <v>-</v>
      </c>
      <c r="K3" s="50" t="str">
        <f>IF(K$5="",J$3,IFERROR(MATCH(K$5,prodArrayNames,0),"-"))</f>
        <v>-</v>
      </c>
      <c r="L3" s="50" t="str">
        <f>IF(L$5="",K$3,IFERROR(MATCH(L$5,prodArrayNames,0),"-"))</f>
        <v>-</v>
      </c>
      <c r="M3" s="50" t="str">
        <f>IF(M$5="",G$3,IFERROR(MATCH(M$5,prodArrayNames,0),"-"))</f>
        <v>-</v>
      </c>
      <c r="N3" s="50" t="str">
        <f>IF(N$5="",#REF!,IFERROR(MATCH(N$5,prodArrayNames,0),"-"))</f>
        <v>-</v>
      </c>
      <c r="O3" s="50" t="str">
        <f>IF(O$5="",#REF!,IFERROR(MATCH(O$5,prodArrayNames,0),"-"))</f>
        <v>-</v>
      </c>
      <c r="P3" s="50" t="str">
        <f t="shared" ref="P3:BF3" si="5">IF(P$5="",O$3,IFERROR(MATCH(P$5,prodArrayNames,0),"-"))</f>
        <v>-</v>
      </c>
      <c r="Q3" s="50" t="str">
        <f t="shared" si="5"/>
        <v>-</v>
      </c>
      <c r="R3" s="50" t="str">
        <f t="shared" si="5"/>
        <v>-</v>
      </c>
      <c r="S3" s="50" t="str">
        <f t="shared" si="5"/>
        <v>-</v>
      </c>
      <c r="T3" s="50" t="str">
        <f t="shared" si="5"/>
        <v>-</v>
      </c>
      <c r="U3" s="50" t="str">
        <f t="shared" si="5"/>
        <v>-</v>
      </c>
      <c r="V3" s="50" t="str">
        <f t="shared" si="5"/>
        <v>-</v>
      </c>
      <c r="W3" s="50" t="str">
        <f t="shared" si="5"/>
        <v>-</v>
      </c>
      <c r="X3" s="50" t="str">
        <f t="shared" si="5"/>
        <v>-</v>
      </c>
      <c r="Y3" s="50" t="str">
        <f t="shared" si="5"/>
        <v>-</v>
      </c>
      <c r="Z3" s="50" t="str">
        <f t="shared" si="5"/>
        <v>-</v>
      </c>
      <c r="AA3" s="50" t="str">
        <f t="shared" si="5"/>
        <v>-</v>
      </c>
      <c r="AB3" s="50" t="str">
        <f t="shared" si="5"/>
        <v>-</v>
      </c>
      <c r="AC3" s="50" t="str">
        <f t="shared" si="5"/>
        <v>-</v>
      </c>
      <c r="AD3" s="50" t="str">
        <f t="shared" si="5"/>
        <v>-</v>
      </c>
      <c r="AE3" s="50" t="str">
        <f t="shared" si="5"/>
        <v>-</v>
      </c>
      <c r="AF3" s="50" t="str">
        <f t="shared" si="5"/>
        <v>-</v>
      </c>
      <c r="AG3" s="50" t="str">
        <f t="shared" si="5"/>
        <v>-</v>
      </c>
      <c r="AH3" s="50" t="str">
        <f t="shared" si="5"/>
        <v>-</v>
      </c>
      <c r="AI3" s="50" t="str">
        <f t="shared" si="5"/>
        <v>-</v>
      </c>
      <c r="AJ3" s="50" t="str">
        <f t="shared" si="5"/>
        <v>-</v>
      </c>
      <c r="AK3" s="50" t="str">
        <f t="shared" si="5"/>
        <v>-</v>
      </c>
      <c r="AL3" s="50" t="str">
        <f t="shared" si="5"/>
        <v>-</v>
      </c>
      <c r="AM3" s="50" t="str">
        <f t="shared" si="5"/>
        <v>-</v>
      </c>
      <c r="AN3" s="50" t="str">
        <f t="shared" si="5"/>
        <v>-</v>
      </c>
      <c r="AO3" s="50" t="str">
        <f t="shared" si="5"/>
        <v>-</v>
      </c>
      <c r="AP3" s="50" t="str">
        <f t="shared" si="5"/>
        <v>-</v>
      </c>
      <c r="AQ3" s="50" t="str">
        <f t="shared" si="5"/>
        <v>-</v>
      </c>
      <c r="AR3" s="50" t="str">
        <f t="shared" si="5"/>
        <v>-</v>
      </c>
      <c r="AS3" s="50" t="str">
        <f t="shared" si="5"/>
        <v>-</v>
      </c>
      <c r="AT3" s="50" t="str">
        <f t="shared" si="5"/>
        <v>-</v>
      </c>
      <c r="AU3" s="50" t="str">
        <f t="shared" si="5"/>
        <v>-</v>
      </c>
      <c r="AV3" s="50" t="str">
        <f t="shared" si="5"/>
        <v>-</v>
      </c>
      <c r="AW3" s="50" t="str">
        <f t="shared" si="5"/>
        <v>-</v>
      </c>
      <c r="AX3" s="50" t="str">
        <f t="shared" si="5"/>
        <v>-</v>
      </c>
      <c r="AY3" s="50" t="str">
        <f t="shared" si="5"/>
        <v>-</v>
      </c>
      <c r="AZ3" s="50" t="str">
        <f t="shared" si="5"/>
        <v>-</v>
      </c>
      <c r="BA3" s="50" t="str">
        <f t="shared" si="5"/>
        <v>-</v>
      </c>
      <c r="BB3" s="50" t="str">
        <f t="shared" si="5"/>
        <v>-</v>
      </c>
      <c r="BC3" s="50" t="str">
        <f t="shared" si="5"/>
        <v>-</v>
      </c>
      <c r="BD3" s="50" t="str">
        <f t="shared" si="5"/>
        <v>-</v>
      </c>
      <c r="BE3" s="50" t="str">
        <f t="shared" si="5"/>
        <v>-</v>
      </c>
      <c r="BF3" s="50" t="str">
        <f t="shared" si="5"/>
        <v>-</v>
      </c>
      <c r="BG3" s="94"/>
    </row>
    <row r="4" spans="1:60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94"/>
    </row>
    <row r="5" spans="1:60" ht="22.5" customHeight="1" thickTop="1" x14ac:dyDescent="0.3">
      <c r="A5" s="28" t="s">
        <v>87</v>
      </c>
      <c r="B5" s="95" t="s">
        <v>1080</v>
      </c>
      <c r="C5" s="95"/>
      <c r="D5" s="95" t="s">
        <v>1282</v>
      </c>
      <c r="E5" s="95"/>
      <c r="F5" s="95" t="s">
        <v>1284</v>
      </c>
      <c r="G5" s="95"/>
      <c r="H5" s="95" t="s">
        <v>1303</v>
      </c>
      <c r="I5" s="95"/>
      <c r="J5" s="95" t="s">
        <v>1260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237</v>
      </c>
      <c r="BG5" s="94" t="s">
        <v>148</v>
      </c>
      <c r="BH5" s="15"/>
    </row>
    <row r="6" spans="1:60" ht="22.5" customHeight="1" x14ac:dyDescent="0.3">
      <c r="A6" s="28" t="s">
        <v>13</v>
      </c>
      <c r="B6" s="17" t="s">
        <v>968</v>
      </c>
      <c r="C6" s="17" t="s">
        <v>1162</v>
      </c>
      <c r="D6" s="17" t="s">
        <v>122</v>
      </c>
      <c r="E6" s="17" t="s">
        <v>134</v>
      </c>
      <c r="F6" s="17" t="s">
        <v>122</v>
      </c>
      <c r="G6" s="17" t="s">
        <v>134</v>
      </c>
      <c r="H6" s="17" t="s">
        <v>968</v>
      </c>
      <c r="I6" s="17" t="s">
        <v>1162</v>
      </c>
      <c r="J6" s="17" t="s">
        <v>1261</v>
      </c>
      <c r="BF6" s="17">
        <v>0</v>
      </c>
      <c r="BG6" s="94" t="s">
        <v>89</v>
      </c>
    </row>
    <row r="7" spans="1:60" ht="22.5" customHeight="1" x14ac:dyDescent="0.3">
      <c r="A7" s="28"/>
      <c r="B7" s="17" t="s">
        <v>122</v>
      </c>
      <c r="C7" s="17" t="s">
        <v>134</v>
      </c>
      <c r="D7" s="17" t="s">
        <v>965</v>
      </c>
      <c r="E7" s="17" t="s">
        <v>960</v>
      </c>
      <c r="F7" s="17" t="s">
        <v>968</v>
      </c>
      <c r="G7" s="17" t="s">
        <v>969</v>
      </c>
      <c r="H7" s="17" t="s">
        <v>1249</v>
      </c>
      <c r="I7" s="17" t="s">
        <v>1304</v>
      </c>
      <c r="J7" s="17" t="s">
        <v>1348</v>
      </c>
      <c r="BF7" s="17">
        <v>1</v>
      </c>
      <c r="BG7" s="33"/>
    </row>
    <row r="8" spans="1:60" ht="22.5" customHeight="1" x14ac:dyDescent="0.3">
      <c r="B8" s="17" t="s">
        <v>1335</v>
      </c>
      <c r="C8" s="17" t="s">
        <v>1336</v>
      </c>
      <c r="D8" s="17" t="s">
        <v>966</v>
      </c>
      <c r="E8" s="17" t="s">
        <v>963</v>
      </c>
      <c r="F8" s="17" t="s">
        <v>48</v>
      </c>
      <c r="G8" s="17" t="s">
        <v>1006</v>
      </c>
      <c r="H8" s="17" t="s">
        <v>103</v>
      </c>
      <c r="I8" s="17" t="s">
        <v>1305</v>
      </c>
      <c r="J8" s="17" t="s">
        <v>1347</v>
      </c>
      <c r="BF8" s="17">
        <v>2</v>
      </c>
      <c r="BG8" s="33"/>
    </row>
    <row r="9" spans="1:60" ht="22.5" customHeight="1" x14ac:dyDescent="0.3">
      <c r="B9" s="17" t="s">
        <v>19</v>
      </c>
      <c r="C9" s="17" t="s">
        <v>1337</v>
      </c>
      <c r="D9" s="17" t="s">
        <v>967</v>
      </c>
      <c r="E9" s="17" t="s">
        <v>964</v>
      </c>
      <c r="F9" s="17" t="s">
        <v>19</v>
      </c>
      <c r="G9" s="17" t="s">
        <v>1007</v>
      </c>
      <c r="H9" s="17" t="s">
        <v>1306</v>
      </c>
      <c r="I9" s="17" t="s">
        <v>1307</v>
      </c>
      <c r="J9" s="17" t="s">
        <v>1345</v>
      </c>
      <c r="BF9" s="17">
        <v>3</v>
      </c>
    </row>
    <row r="10" spans="1:60" ht="22.5" customHeight="1" x14ac:dyDescent="0.3">
      <c r="B10" s="17" t="s">
        <v>1338</v>
      </c>
      <c r="C10" s="17" t="s">
        <v>1339</v>
      </c>
      <c r="D10" s="17" t="s">
        <v>993</v>
      </c>
      <c r="E10" s="17" t="s">
        <v>994</v>
      </c>
      <c r="F10" s="17" t="s">
        <v>1008</v>
      </c>
      <c r="G10" s="17" t="s">
        <v>1009</v>
      </c>
      <c r="J10" s="17" t="s">
        <v>1346</v>
      </c>
      <c r="BF10" s="17">
        <v>4</v>
      </c>
    </row>
    <row r="11" spans="1:60" ht="22.5" customHeight="1" x14ac:dyDescent="0.3">
      <c r="B11" s="17" t="s">
        <v>29</v>
      </c>
      <c r="C11" s="17" t="s">
        <v>1340</v>
      </c>
      <c r="F11" s="17" t="s">
        <v>85</v>
      </c>
      <c r="G11" s="17" t="s">
        <v>1010</v>
      </c>
      <c r="BF11" s="17">
        <v>5</v>
      </c>
    </row>
    <row r="12" spans="1:60" ht="22.5" customHeight="1" x14ac:dyDescent="0.3">
      <c r="B12" s="17" t="s">
        <v>1341</v>
      </c>
      <c r="C12" s="17" t="s">
        <v>1342</v>
      </c>
      <c r="F12" s="17" t="s">
        <v>980</v>
      </c>
      <c r="G12" s="17" t="s">
        <v>979</v>
      </c>
      <c r="BF12" s="17">
        <v>6</v>
      </c>
    </row>
    <row r="13" spans="1:60" ht="22.5" customHeight="1" x14ac:dyDescent="0.3">
      <c r="B13" s="17" t="s">
        <v>48</v>
      </c>
      <c r="C13" s="17" t="s">
        <v>1343</v>
      </c>
      <c r="F13" s="17" t="s">
        <v>970</v>
      </c>
      <c r="G13" s="17" t="s">
        <v>971</v>
      </c>
      <c r="BF13" s="17">
        <v>7</v>
      </c>
    </row>
    <row r="14" spans="1:60" ht="22.5" customHeight="1" x14ac:dyDescent="0.3">
      <c r="B14" s="17" t="s">
        <v>995</v>
      </c>
      <c r="C14" s="17" t="s">
        <v>1344</v>
      </c>
      <c r="F14" s="17" t="s">
        <v>961</v>
      </c>
      <c r="G14" s="17" t="s">
        <v>972</v>
      </c>
      <c r="BF14" s="17">
        <v>8</v>
      </c>
    </row>
    <row r="15" spans="1:60" ht="22.5" customHeight="1" x14ac:dyDescent="0.3">
      <c r="F15" s="17" t="s">
        <v>973</v>
      </c>
      <c r="G15" s="17" t="s">
        <v>974</v>
      </c>
    </row>
    <row r="16" spans="1:60" ht="22.5" customHeight="1" x14ac:dyDescent="0.3">
      <c r="F16" s="17" t="s">
        <v>29</v>
      </c>
      <c r="G16" s="17" t="s">
        <v>978</v>
      </c>
    </row>
    <row r="17" spans="6:7" ht="22.5" customHeight="1" x14ac:dyDescent="0.3">
      <c r="F17" s="17" t="s">
        <v>962</v>
      </c>
      <c r="G17" s="17" t="s">
        <v>976</v>
      </c>
    </row>
    <row r="18" spans="6:7" ht="22.5" customHeight="1" x14ac:dyDescent="0.3">
      <c r="F18" s="17" t="s">
        <v>61</v>
      </c>
      <c r="G18" s="17" t="s">
        <v>977</v>
      </c>
    </row>
    <row r="19" spans="6:7" ht="22.5" customHeight="1" x14ac:dyDescent="0.3">
      <c r="F19" s="17" t="s">
        <v>84</v>
      </c>
      <c r="G19" s="17" t="s">
        <v>975</v>
      </c>
    </row>
    <row r="20" spans="6:7" ht="22.5" customHeight="1" x14ac:dyDescent="0.3">
      <c r="F20" s="17" t="s">
        <v>995</v>
      </c>
      <c r="G20" s="17" t="s">
        <v>1011</v>
      </c>
    </row>
    <row r="21" spans="6:7" ht="22.5" customHeight="1" x14ac:dyDescent="0.3"/>
    <row r="22" spans="6:7" ht="22.5" customHeight="1" x14ac:dyDescent="0.3"/>
    <row r="23" spans="6:7" ht="22.5" customHeight="1" x14ac:dyDescent="0.3"/>
    <row r="24" spans="6:7" ht="22.5" customHeight="1" x14ac:dyDescent="0.3"/>
    <row r="25" spans="6:7" ht="22.5" customHeight="1" x14ac:dyDescent="0.3"/>
    <row r="26" spans="6:7" ht="22.5" customHeight="1" x14ac:dyDescent="0.3"/>
    <row r="27" spans="6:7" ht="22.5" customHeight="1" x14ac:dyDescent="0.3"/>
    <row r="28" spans="6:7" ht="22.5" customHeight="1" x14ac:dyDescent="0.3"/>
    <row r="29" spans="6:7" ht="22.5" customHeight="1" x14ac:dyDescent="0.3"/>
    <row r="30" spans="6:7" ht="22.5" customHeight="1" x14ac:dyDescent="0.3"/>
    <row r="31" spans="6:7" ht="22.5" customHeight="1" x14ac:dyDescent="0.3"/>
    <row r="32" spans="6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58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25"/>
  <sheetViews>
    <sheetView zoomScale="110" zoomScaleNormal="110" workbookViewId="0">
      <selection activeCell="D33" sqref="D33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1059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</row>
    <row r="5" spans="1:5" s="123" customFormat="1" x14ac:dyDescent="0.3">
      <c r="A5" s="122" t="s">
        <v>1066</v>
      </c>
      <c r="B5" s="122">
        <v>1</v>
      </c>
      <c r="C5" s="123" t="s">
        <v>1067</v>
      </c>
      <c r="D5" s="123" t="s">
        <v>1072</v>
      </c>
      <c r="E5" s="245" t="str">
        <f>IF(LEN($C5)-LEN(D5)&lt;0,TEXT(LEN(D5)/LEN($C5),"0 %")&amp;" ("&amp;LEN(D5)-LEN($C5)&amp;")","")</f>
        <v>118 % (2)</v>
      </c>
    </row>
    <row r="6" spans="1:5" s="123" customFormat="1" x14ac:dyDescent="0.3">
      <c r="A6" s="122" t="s">
        <v>1066</v>
      </c>
      <c r="B6" s="122">
        <v>2</v>
      </c>
      <c r="C6" s="123" t="s">
        <v>1068</v>
      </c>
      <c r="D6" s="123" t="s">
        <v>1073</v>
      </c>
      <c r="E6" s="245" t="str">
        <f t="shared" ref="E6:E16" si="0">IF(LEN($C6)-LEN(D6)&lt;0,TEXT(LEN(D6)/LEN($C6),"0 %")&amp;" ("&amp;LEN(D6)-LEN($C6)&amp;")","")</f>
        <v/>
      </c>
    </row>
    <row r="7" spans="1:5" s="123" customFormat="1" x14ac:dyDescent="0.3">
      <c r="A7" s="122" t="s">
        <v>1066</v>
      </c>
      <c r="B7" s="122">
        <v>3</v>
      </c>
      <c r="C7" s="123" t="s">
        <v>1069</v>
      </c>
      <c r="D7" s="123" t="s">
        <v>1074</v>
      </c>
      <c r="E7" s="245" t="str">
        <f t="shared" si="0"/>
        <v/>
      </c>
    </row>
    <row r="8" spans="1:5" s="123" customFormat="1" x14ac:dyDescent="0.3">
      <c r="A8" s="122" t="s">
        <v>1066</v>
      </c>
      <c r="B8" s="122">
        <v>4</v>
      </c>
      <c r="C8" s="123" t="s">
        <v>1078</v>
      </c>
      <c r="D8" s="123" t="s">
        <v>1079</v>
      </c>
      <c r="E8" s="245" t="str">
        <f t="shared" si="0"/>
        <v>125 % (1)</v>
      </c>
    </row>
    <row r="9" spans="1:5" ht="15.6" x14ac:dyDescent="0.3">
      <c r="A9" s="117" t="str">
        <f>"! --- "&amp;INDEX(MLtextDivisions,2)</f>
        <v>! --- User Interface - Tooltip text</v>
      </c>
      <c r="E9" s="245" t="str">
        <f t="shared" si="0"/>
        <v/>
      </c>
    </row>
    <row r="10" spans="1:5" s="123" customFormat="1" x14ac:dyDescent="0.3">
      <c r="A10" s="122" t="s">
        <v>1070</v>
      </c>
      <c r="B10" s="122">
        <v>1</v>
      </c>
      <c r="C10" s="123" t="s">
        <v>942</v>
      </c>
      <c r="D10" s="123" t="s">
        <v>942</v>
      </c>
      <c r="E10" s="245" t="str">
        <f t="shared" si="0"/>
        <v/>
      </c>
    </row>
    <row r="11" spans="1:5" s="123" customFormat="1" x14ac:dyDescent="0.3">
      <c r="A11" s="122" t="s">
        <v>1070</v>
      </c>
      <c r="B11" s="122">
        <v>2</v>
      </c>
      <c r="C11" s="123" t="s">
        <v>660</v>
      </c>
      <c r="D11" s="123" t="s">
        <v>660</v>
      </c>
      <c r="E11" s="245" t="str">
        <f t="shared" si="0"/>
        <v/>
      </c>
    </row>
    <row r="12" spans="1:5" s="123" customFormat="1" x14ac:dyDescent="0.3">
      <c r="A12" s="122" t="s">
        <v>1070</v>
      </c>
      <c r="B12" s="122">
        <v>3</v>
      </c>
      <c r="C12" s="123" t="s">
        <v>1071</v>
      </c>
      <c r="D12" s="123" t="s">
        <v>1071</v>
      </c>
      <c r="E12" s="245" t="str">
        <f t="shared" si="0"/>
        <v/>
      </c>
    </row>
    <row r="13" spans="1:5" s="123" customFormat="1" x14ac:dyDescent="0.3">
      <c r="A13" s="122" t="s">
        <v>1070</v>
      </c>
      <c r="B13" s="122">
        <v>4</v>
      </c>
      <c r="C13" s="123" t="s">
        <v>1076</v>
      </c>
      <c r="D13" s="123" t="s">
        <v>1076</v>
      </c>
      <c r="E13" s="245" t="str">
        <f t="shared" si="0"/>
        <v/>
      </c>
    </row>
    <row r="14" spans="1:5" s="123" customFormat="1" x14ac:dyDescent="0.3">
      <c r="A14" s="122" t="s">
        <v>1070</v>
      </c>
      <c r="B14" s="122">
        <v>5</v>
      </c>
      <c r="C14" s="123" t="s">
        <v>1077</v>
      </c>
      <c r="D14" s="123" t="s">
        <v>1077</v>
      </c>
      <c r="E14" s="245" t="str">
        <f t="shared" si="0"/>
        <v/>
      </c>
    </row>
    <row r="15" spans="1:5" s="123" customFormat="1" x14ac:dyDescent="0.3">
      <c r="A15" s="122" t="s">
        <v>1070</v>
      </c>
      <c r="B15" s="122">
        <v>6</v>
      </c>
      <c r="C15" s="123" t="s">
        <v>1075</v>
      </c>
      <c r="D15" s="123" t="s">
        <v>1075</v>
      </c>
      <c r="E15" s="245" t="str">
        <f t="shared" si="0"/>
        <v/>
      </c>
    </row>
    <row r="16" spans="1:5" ht="15.6" x14ac:dyDescent="0.3">
      <c r="A16" s="117" t="str">
        <f>"! --- "&amp;INDEX(MLtextDivisions,3)</f>
        <v>! --- Parameter Script - VALUES</v>
      </c>
      <c r="E16" s="245" t="str">
        <f t="shared" si="0"/>
        <v/>
      </c>
    </row>
    <row r="17" spans="1:5" s="123" customFormat="1" x14ac:dyDescent="0.3">
      <c r="A17" s="122" t="s">
        <v>1056</v>
      </c>
      <c r="B17" s="122">
        <v>1</v>
      </c>
      <c r="C17" s="123" t="s">
        <v>1057</v>
      </c>
      <c r="D17" s="123" t="s">
        <v>1058</v>
      </c>
      <c r="E17" s="245" t="str">
        <f>IF(LEN($C17)-LEN(D17)&lt;0,TEXT(LEN(D17)/LEN($C17),"0 %")&amp;" ("&amp;LEN(D17)-LEN($C17)&amp;")","")</f>
        <v/>
      </c>
    </row>
    <row r="18" spans="1:5" s="123" customFormat="1" x14ac:dyDescent="0.3">
      <c r="A18" s="122"/>
      <c r="B18" s="122"/>
      <c r="E18" s="245" t="str">
        <f t="shared" ref="E18:E25" si="1">IF(LEN($C18)-LEN(D18)&lt;0,TEXT(LEN(D18)/LEN($C18),"0 %")&amp;" ("&amp;LEN(D18)-LEN($C18)&amp;")","")</f>
        <v/>
      </c>
    </row>
    <row r="19" spans="1:5" ht="15.6" x14ac:dyDescent="0.3">
      <c r="A19" s="117" t="str">
        <f>"! --- "&amp;INDEX(MLtextDivisions,4)</f>
        <v>! --- Common Text</v>
      </c>
      <c r="E19" s="245" t="str">
        <f t="shared" si="1"/>
        <v/>
      </c>
    </row>
    <row r="20" spans="1:5" x14ac:dyDescent="0.3">
      <c r="A20" s="122" t="s">
        <v>1060</v>
      </c>
      <c r="B20" s="118">
        <v>1</v>
      </c>
      <c r="C20" t="s">
        <v>960</v>
      </c>
      <c r="D20" t="s">
        <v>1061</v>
      </c>
      <c r="E20" s="245" t="str">
        <f t="shared" si="1"/>
        <v/>
      </c>
    </row>
    <row r="21" spans="1:5" x14ac:dyDescent="0.3">
      <c r="A21" s="122" t="s">
        <v>1060</v>
      </c>
      <c r="B21" s="118">
        <v>2</v>
      </c>
      <c r="C21" t="s">
        <v>964</v>
      </c>
      <c r="D21" t="s">
        <v>964</v>
      </c>
      <c r="E21" s="245" t="str">
        <f t="shared" si="1"/>
        <v/>
      </c>
    </row>
    <row r="22" spans="1:5" x14ac:dyDescent="0.3">
      <c r="A22" s="122" t="s">
        <v>1060</v>
      </c>
      <c r="B22" s="118">
        <v>3</v>
      </c>
      <c r="C22" t="s">
        <v>1062</v>
      </c>
      <c r="D22" t="s">
        <v>1063</v>
      </c>
      <c r="E22" s="245" t="str">
        <f t="shared" si="1"/>
        <v/>
      </c>
    </row>
    <row r="23" spans="1:5" s="123" customFormat="1" x14ac:dyDescent="0.3">
      <c r="A23" s="122" t="s">
        <v>1060</v>
      </c>
      <c r="B23" s="118">
        <v>4</v>
      </c>
      <c r="C23" t="s">
        <v>1064</v>
      </c>
      <c r="D23" t="s">
        <v>1065</v>
      </c>
      <c r="E23" s="245" t="str">
        <f t="shared" si="1"/>
        <v/>
      </c>
    </row>
    <row r="24" spans="1:5" s="123" customFormat="1" ht="15.6" x14ac:dyDescent="0.3">
      <c r="A24" s="121"/>
      <c r="B24" s="122"/>
      <c r="E24" s="245" t="str">
        <f t="shared" si="1"/>
        <v/>
      </c>
    </row>
    <row r="25" spans="1:5" ht="15.6" x14ac:dyDescent="0.3">
      <c r="A25" s="117" t="str">
        <f>"! --- END"</f>
        <v>! --- END</v>
      </c>
      <c r="E25" s="245" t="str">
        <f t="shared" si="1"/>
        <v/>
      </c>
    </row>
  </sheetData>
  <sortState ref="A19:E30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K6" sqref="K6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61" t="str">
        <f>"-&gt; PROPERTY-CONTEXT"</f>
        <v>-&gt; PROPERTY-CONTEXT</v>
      </c>
      <c r="F1" s="261"/>
      <c r="G1" s="261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62" t="s">
        <v>125</v>
      </c>
      <c r="T1" s="262"/>
      <c r="U1" s="10" t="s">
        <v>139</v>
      </c>
      <c r="V1" s="10" t="s">
        <v>144</v>
      </c>
      <c r="W1" s="10" t="s">
        <v>174</v>
      </c>
      <c r="X1" s="10" t="s">
        <v>175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187</v>
      </c>
      <c r="W2" s="3" t="s">
        <v>172</v>
      </c>
      <c r="X2" s="3" t="s">
        <v>176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195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180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-92424BA23C6E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181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182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63" t="str">
        <f>'RAW IMPORT'!A1</f>
        <v>Produkt</v>
      </c>
      <c r="B1" s="263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179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64" t="s">
        <v>96</v>
      </c>
      <c r="B1" s="265"/>
      <c r="C1" s="130" t="s">
        <v>143</v>
      </c>
      <c r="D1" s="138" t="s">
        <v>186</v>
      </c>
      <c r="E1" s="138"/>
    </row>
    <row r="2" spans="1:9" ht="15.75" customHeight="1" thickBot="1" x14ac:dyDescent="0.3">
      <c r="A2" s="79" t="s">
        <v>239</v>
      </c>
      <c r="B2" s="80" t="s">
        <v>185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2025-09-12T12:51:55Z</dcterms:modified>
</cp:coreProperties>
</file>