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4 BAD hinge dormakaba\BAD04.dk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definedNames>
    <definedName name="ARRAY">PARAMETERS!$Z$2:$Z$466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PARAMETERS!$O$2:$O$467</definedName>
    <definedName name="PARAMETERLISTE">PARAMETERS!$A$2:$Q$467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PARAMETERS!$AA$2:$AA$466</definedName>
    <definedName name="VALUES1dim">VALUES!$B$6:$BR$35</definedName>
    <definedName name="VALUESdim">VALUES!$B$1:$BR$1</definedName>
    <definedName name="VALUESLIST">VALUES!$B$5:$BQ$96</definedName>
    <definedName name="VALUESnames">VALUES!$B$5:$BS$5</definedName>
    <definedName name="valuesPROP">#REF!</definedName>
    <definedName name="VALUESval">VALUES!$B$6:$BR$96</definedName>
  </definedNames>
  <calcPr calcId="162913" concurrentCalc="0"/>
</workbook>
</file>

<file path=xl/calcChain.xml><?xml version="1.0" encoding="utf-8"?>
<calcChain xmlns="http://schemas.openxmlformats.org/spreadsheetml/2006/main">
  <c r="E6" i="15" l="1"/>
  <c r="E7" i="15"/>
  <c r="E8" i="15"/>
  <c r="E9" i="15"/>
  <c r="E10" i="15"/>
  <c r="E11" i="15"/>
  <c r="E12" i="15"/>
  <c r="E13" i="15"/>
  <c r="E14" i="15"/>
  <c r="E15" i="15"/>
  <c r="E16" i="15"/>
  <c r="E30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5" i="15"/>
  <c r="E31" i="15"/>
  <c r="E32" i="15"/>
  <c r="E33" i="15"/>
  <c r="E34" i="15"/>
  <c r="E35" i="15"/>
  <c r="E36" i="15"/>
  <c r="E37" i="15"/>
  <c r="E38" i="15"/>
  <c r="B8" i="1"/>
  <c r="C286" i="6"/>
  <c r="C285" i="6"/>
  <c r="AB286" i="6"/>
  <c r="AA286" i="6"/>
  <c r="AC286" i="6"/>
  <c r="Z286" i="6"/>
  <c r="AB285" i="6"/>
  <c r="AA285" i="6"/>
  <c r="AC285" i="6"/>
  <c r="Z285" i="6"/>
  <c r="CH3" i="7"/>
  <c r="CH2" i="7"/>
  <c r="Q9" i="5"/>
  <c r="CH4" i="7"/>
  <c r="CF3" i="7"/>
  <c r="CG3" i="7"/>
  <c r="CG2" i="7"/>
  <c r="CF4" i="7"/>
  <c r="CG4" i="7"/>
  <c r="CE3" i="7"/>
  <c r="CE4" i="7"/>
  <c r="B286" i="6"/>
  <c r="B285" i="6"/>
  <c r="CF2" i="7"/>
  <c r="CE2" i="7"/>
  <c r="C441" i="6"/>
  <c r="C440" i="6"/>
  <c r="AB440" i="6"/>
  <c r="AA440" i="6"/>
  <c r="AC440" i="6"/>
  <c r="Z440" i="6"/>
  <c r="C439" i="6"/>
  <c r="AB441" i="6"/>
  <c r="AA441" i="6"/>
  <c r="Z441" i="6"/>
  <c r="AB439" i="6"/>
  <c r="AA439" i="6"/>
  <c r="AC439" i="6"/>
  <c r="Z439" i="6"/>
  <c r="B441" i="6"/>
  <c r="B440" i="6"/>
  <c r="B439" i="6"/>
  <c r="AC44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AA110" i="6"/>
  <c r="AC110" i="6"/>
  <c r="AB110" i="6"/>
  <c r="Z110" i="6"/>
  <c r="C110" i="6"/>
  <c r="AA109" i="6"/>
  <c r="AC109" i="6"/>
  <c r="AB109" i="6"/>
  <c r="Z109" i="6"/>
  <c r="B109" i="6"/>
  <c r="C109" i="6"/>
  <c r="AA130" i="6"/>
  <c r="AC130" i="6"/>
  <c r="AB130" i="6"/>
  <c r="Z130" i="6"/>
  <c r="W130" i="6"/>
  <c r="C130" i="6"/>
  <c r="AA178" i="6"/>
  <c r="AC178" i="6"/>
  <c r="AB178" i="6"/>
  <c r="Z178" i="6"/>
  <c r="C178" i="6"/>
  <c r="C1" i="8"/>
  <c r="A8" i="5"/>
  <c r="D1" i="8"/>
  <c r="E1" i="8"/>
  <c r="B3" i="8"/>
  <c r="C3" i="8"/>
  <c r="C2" i="8"/>
  <c r="D3" i="8"/>
  <c r="D2" i="8"/>
  <c r="E3" i="8"/>
  <c r="E2" i="8"/>
  <c r="B1" i="8"/>
  <c r="B2" i="8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A12" i="13"/>
  <c r="E1" i="13"/>
  <c r="E2" i="13"/>
  <c r="D1" i="13"/>
  <c r="D2" i="13"/>
  <c r="C1" i="13"/>
  <c r="C2" i="13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C18" i="5"/>
  <c r="R17" i="5"/>
  <c r="C17" i="5"/>
  <c r="R16" i="5"/>
  <c r="C16" i="5"/>
  <c r="R15" i="5"/>
  <c r="C15" i="5"/>
  <c r="R14" i="5"/>
  <c r="C14" i="5"/>
  <c r="T13" i="5"/>
  <c r="R13" i="5"/>
  <c r="C13" i="5"/>
  <c r="R12" i="5"/>
  <c r="C12" i="5"/>
  <c r="R11" i="5"/>
  <c r="C11" i="5"/>
  <c r="R10" i="5"/>
  <c r="Q10" i="5"/>
  <c r="C10" i="5"/>
  <c r="R9" i="5"/>
  <c r="C9" i="5"/>
  <c r="R8" i="5"/>
  <c r="C8" i="5"/>
  <c r="R7" i="5"/>
  <c r="C7" i="5"/>
  <c r="A7" i="5"/>
  <c r="R6" i="5"/>
  <c r="C6" i="5"/>
  <c r="A6" i="5"/>
  <c r="R5" i="5"/>
  <c r="C5" i="5"/>
  <c r="A5" i="5"/>
  <c r="R4" i="5"/>
  <c r="C4" i="5"/>
  <c r="A4" i="5"/>
  <c r="A2" i="5"/>
  <c r="R3" i="5"/>
  <c r="N3" i="5"/>
  <c r="C3" i="5"/>
  <c r="A3" i="5"/>
  <c r="R2" i="5"/>
  <c r="C2" i="5"/>
  <c r="E1" i="5"/>
  <c r="C1" i="5"/>
  <c r="A38" i="15"/>
  <c r="A32" i="15"/>
  <c r="A29" i="15"/>
  <c r="A17" i="15"/>
  <c r="A4" i="15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G3" i="8"/>
  <c r="H3" i="8"/>
  <c r="F3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CI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CI3" i="7"/>
  <c r="CD3" i="7"/>
  <c r="CD2" i="7"/>
  <c r="CC3" i="7"/>
  <c r="CB3" i="7"/>
  <c r="CB2" i="7"/>
  <c r="CA3" i="7"/>
  <c r="CA2" i="7"/>
  <c r="BZ3" i="7"/>
  <c r="BZ2" i="7"/>
  <c r="BY3" i="7"/>
  <c r="BX3" i="7"/>
  <c r="BX2" i="7"/>
  <c r="BW3" i="7"/>
  <c r="BW2" i="7"/>
  <c r="BV3" i="7"/>
  <c r="BV2" i="7"/>
  <c r="BU3" i="7"/>
  <c r="BT3" i="7"/>
  <c r="BT2" i="7"/>
  <c r="BR3" i="7"/>
  <c r="BR2" i="7"/>
  <c r="BQ3" i="7"/>
  <c r="BO3" i="7"/>
  <c r="BP3" i="7"/>
  <c r="BP2" i="7"/>
  <c r="BN3" i="7"/>
  <c r="BN2" i="7"/>
  <c r="BM3" i="7"/>
  <c r="BL3" i="7"/>
  <c r="BK3" i="7"/>
  <c r="BI3" i="7"/>
  <c r="BJ3" i="7"/>
  <c r="BG3" i="7"/>
  <c r="BH3" i="7"/>
  <c r="BE3" i="7"/>
  <c r="BF3" i="7"/>
  <c r="BC3" i="7"/>
  <c r="BD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F3" i="7"/>
  <c r="G3" i="7"/>
  <c r="B3" i="7"/>
  <c r="C3" i="7"/>
  <c r="D3" i="7"/>
  <c r="E3" i="7"/>
  <c r="CI2" i="7"/>
  <c r="CC2" i="7"/>
  <c r="BY2" i="7"/>
  <c r="BU2" i="7"/>
  <c r="BQ2" i="7"/>
  <c r="BO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468" i="6"/>
  <c r="AA467" i="6"/>
  <c r="AC467" i="6"/>
  <c r="AB467" i="6"/>
  <c r="Z467" i="6"/>
  <c r="C467" i="6"/>
  <c r="AA466" i="6"/>
  <c r="AC466" i="6"/>
  <c r="AB466" i="6"/>
  <c r="Z466" i="6"/>
  <c r="C466" i="6"/>
  <c r="AA465" i="6"/>
  <c r="AC465" i="6"/>
  <c r="AB465" i="6"/>
  <c r="Z465" i="6"/>
  <c r="C465" i="6"/>
  <c r="AA464" i="6"/>
  <c r="AC464" i="6"/>
  <c r="AB464" i="6"/>
  <c r="Z464" i="6"/>
  <c r="C464" i="6"/>
  <c r="AA463" i="6"/>
  <c r="AC463" i="6"/>
  <c r="AB463" i="6"/>
  <c r="Z463" i="6"/>
  <c r="C463" i="6"/>
  <c r="AA462" i="6"/>
  <c r="AC462" i="6"/>
  <c r="AB462" i="6"/>
  <c r="Z462" i="6"/>
  <c r="C462" i="6"/>
  <c r="AA461" i="6"/>
  <c r="AC461" i="6"/>
  <c r="AB461" i="6"/>
  <c r="Z461" i="6"/>
  <c r="C461" i="6"/>
  <c r="AA460" i="6"/>
  <c r="AC460" i="6"/>
  <c r="AB460" i="6"/>
  <c r="Z460" i="6"/>
  <c r="C460" i="6"/>
  <c r="AA459" i="6"/>
  <c r="AC459" i="6"/>
  <c r="AB459" i="6"/>
  <c r="Z459" i="6"/>
  <c r="C459" i="6"/>
  <c r="AA458" i="6"/>
  <c r="AC458" i="6"/>
  <c r="AB458" i="6"/>
  <c r="Z458" i="6"/>
  <c r="C458" i="6"/>
  <c r="AA457" i="6"/>
  <c r="AC457" i="6"/>
  <c r="AB457" i="6"/>
  <c r="Z457" i="6"/>
  <c r="C457" i="6"/>
  <c r="AA456" i="6"/>
  <c r="AC456" i="6"/>
  <c r="AB456" i="6"/>
  <c r="Z456" i="6"/>
  <c r="C456" i="6"/>
  <c r="AA455" i="6"/>
  <c r="B455" i="6"/>
  <c r="AB455" i="6"/>
  <c r="Z455" i="6"/>
  <c r="C455" i="6"/>
  <c r="AA454" i="6"/>
  <c r="AC454" i="6"/>
  <c r="AB454" i="6"/>
  <c r="Z454" i="6"/>
  <c r="W454" i="6"/>
  <c r="C454" i="6"/>
  <c r="AA453" i="6"/>
  <c r="AC453" i="6"/>
  <c r="AB453" i="6"/>
  <c r="Z453" i="6"/>
  <c r="W453" i="6"/>
  <c r="C453" i="6"/>
  <c r="AA452" i="6"/>
  <c r="AB452" i="6"/>
  <c r="Z452" i="6"/>
  <c r="W452" i="6"/>
  <c r="C452" i="6"/>
  <c r="AA451" i="6"/>
  <c r="AC451" i="6"/>
  <c r="AB451" i="6"/>
  <c r="Z451" i="6"/>
  <c r="W451" i="6"/>
  <c r="C451" i="6"/>
  <c r="AA450" i="6"/>
  <c r="AC450" i="6"/>
  <c r="AB450" i="6"/>
  <c r="Z450" i="6"/>
  <c r="W450" i="6"/>
  <c r="C450" i="6"/>
  <c r="AA449" i="6"/>
  <c r="AC449" i="6"/>
  <c r="AB449" i="6"/>
  <c r="Z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C445" i="6"/>
  <c r="AA444" i="6"/>
  <c r="AC444" i="6"/>
  <c r="AB444" i="6"/>
  <c r="Z444" i="6"/>
  <c r="C444" i="6"/>
  <c r="AA443" i="6"/>
  <c r="AC443" i="6"/>
  <c r="AB443" i="6"/>
  <c r="Z443" i="6"/>
  <c r="W443" i="6"/>
  <c r="C443" i="6"/>
  <c r="AA442" i="6"/>
  <c r="AC442" i="6"/>
  <c r="AB442" i="6"/>
  <c r="Z442" i="6"/>
  <c r="W442" i="6"/>
  <c r="C442" i="6"/>
  <c r="AA438" i="6"/>
  <c r="AC438" i="6"/>
  <c r="AB438" i="6"/>
  <c r="Z438" i="6"/>
  <c r="C438" i="6"/>
  <c r="AA437" i="6"/>
  <c r="AC437" i="6"/>
  <c r="AB437" i="6"/>
  <c r="Z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B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C420" i="6"/>
  <c r="AB420" i="6"/>
  <c r="Z420" i="6"/>
  <c r="W420" i="6"/>
  <c r="C420" i="6"/>
  <c r="AA419" i="6"/>
  <c r="AC419" i="6"/>
  <c r="AB419" i="6"/>
  <c r="Z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B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C412" i="6"/>
  <c r="AB412" i="6"/>
  <c r="Z412" i="6"/>
  <c r="W412" i="6"/>
  <c r="C412" i="6"/>
  <c r="AA411" i="6"/>
  <c r="AC411" i="6"/>
  <c r="AB411" i="6"/>
  <c r="Z411" i="6"/>
  <c r="W411" i="6"/>
  <c r="C411" i="6"/>
  <c r="AA410" i="6"/>
  <c r="AC410" i="6"/>
  <c r="AB410" i="6"/>
  <c r="Z410" i="6"/>
  <c r="W410" i="6"/>
  <c r="C410" i="6"/>
  <c r="AA409" i="6"/>
  <c r="AC409" i="6"/>
  <c r="AB409" i="6"/>
  <c r="Z409" i="6"/>
  <c r="B409" i="6"/>
  <c r="W409" i="6"/>
  <c r="C409" i="6"/>
  <c r="AA408" i="6"/>
  <c r="AC408" i="6"/>
  <c r="AB408" i="6"/>
  <c r="Z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B401" i="6"/>
  <c r="W401" i="6"/>
  <c r="C401" i="6"/>
  <c r="AA400" i="6"/>
  <c r="AC400" i="6"/>
  <c r="AB400" i="6"/>
  <c r="Z400" i="6"/>
  <c r="W400" i="6"/>
  <c r="C400" i="6"/>
  <c r="AA399" i="6"/>
  <c r="AC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B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B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B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B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C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C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B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C351" i="6"/>
  <c r="AA350" i="6"/>
  <c r="AC350" i="6"/>
  <c r="AB350" i="6"/>
  <c r="Z350" i="6"/>
  <c r="C350" i="6"/>
  <c r="AA349" i="6"/>
  <c r="AC349" i="6"/>
  <c r="AB349" i="6"/>
  <c r="Z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B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C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AA334" i="6"/>
  <c r="AC334" i="6"/>
  <c r="AB334" i="6"/>
  <c r="Z334" i="6"/>
  <c r="W334" i="6"/>
  <c r="C334" i="6"/>
  <c r="AA333" i="6"/>
  <c r="AC333" i="6"/>
  <c r="AB333" i="6"/>
  <c r="Z333" i="6"/>
  <c r="W333" i="6"/>
  <c r="C333" i="6"/>
  <c r="AA332" i="6"/>
  <c r="AC332" i="6"/>
  <c r="AB332" i="6"/>
  <c r="Z332" i="6"/>
  <c r="W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AA324" i="6"/>
  <c r="AC324" i="6"/>
  <c r="AB324" i="6"/>
  <c r="Z324" i="6"/>
  <c r="W324" i="6"/>
  <c r="C324" i="6"/>
  <c r="AA323" i="6"/>
  <c r="AC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C317" i="6"/>
  <c r="AB317" i="6"/>
  <c r="Z317" i="6"/>
  <c r="W317" i="6"/>
  <c r="C317" i="6"/>
  <c r="AA316" i="6"/>
  <c r="AC316" i="6"/>
  <c r="AB316" i="6"/>
  <c r="Z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W306" i="6"/>
  <c r="C306" i="6"/>
  <c r="AA305" i="6"/>
  <c r="AC305" i="6"/>
  <c r="AB305" i="6"/>
  <c r="Z305" i="6"/>
  <c r="W305" i="6"/>
  <c r="C305" i="6"/>
  <c r="AA304" i="6"/>
  <c r="AC304" i="6"/>
  <c r="AB304" i="6"/>
  <c r="Z304" i="6"/>
  <c r="W304" i="6"/>
  <c r="C304" i="6"/>
  <c r="AA303" i="6"/>
  <c r="AC303" i="6"/>
  <c r="AB303" i="6"/>
  <c r="Z303" i="6"/>
  <c r="W303" i="6"/>
  <c r="C303" i="6"/>
  <c r="AA302" i="6"/>
  <c r="AC302" i="6"/>
  <c r="AB302" i="6"/>
  <c r="Z302" i="6"/>
  <c r="W302" i="6"/>
  <c r="C302" i="6"/>
  <c r="AA301" i="6"/>
  <c r="AC301" i="6"/>
  <c r="AB301" i="6"/>
  <c r="Z301" i="6"/>
  <c r="W301" i="6"/>
  <c r="C301" i="6"/>
  <c r="AA300" i="6"/>
  <c r="AC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W296" i="6"/>
  <c r="C296" i="6"/>
  <c r="AA295" i="6"/>
  <c r="AC295" i="6"/>
  <c r="AB295" i="6"/>
  <c r="Z295" i="6"/>
  <c r="W295" i="6"/>
  <c r="C295" i="6"/>
  <c r="AA294" i="6"/>
  <c r="AC294" i="6"/>
  <c r="AB294" i="6"/>
  <c r="Z294" i="6"/>
  <c r="W294" i="6"/>
  <c r="C294" i="6"/>
  <c r="AA293" i="6"/>
  <c r="AC293" i="6"/>
  <c r="AB293" i="6"/>
  <c r="Z293" i="6"/>
  <c r="W293" i="6"/>
  <c r="C293" i="6"/>
  <c r="AA292" i="6"/>
  <c r="AC292" i="6"/>
  <c r="AB292" i="6"/>
  <c r="Z292" i="6"/>
  <c r="W292" i="6"/>
  <c r="C292" i="6"/>
  <c r="AA291" i="6"/>
  <c r="AC291" i="6"/>
  <c r="AB291" i="6"/>
  <c r="Z291" i="6"/>
  <c r="W291" i="6"/>
  <c r="C291" i="6"/>
  <c r="AA290" i="6"/>
  <c r="AC290" i="6"/>
  <c r="AB290" i="6"/>
  <c r="Z290" i="6"/>
  <c r="W290" i="6"/>
  <c r="C290" i="6"/>
  <c r="AA289" i="6"/>
  <c r="AC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C282" i="6"/>
  <c r="AB282" i="6"/>
  <c r="Z282" i="6"/>
  <c r="W282" i="6"/>
  <c r="C282" i="6"/>
  <c r="AA281" i="6"/>
  <c r="AC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AC278" i="6"/>
  <c r="AB278" i="6"/>
  <c r="Z278" i="6"/>
  <c r="W278" i="6"/>
  <c r="C278" i="6"/>
  <c r="AA277" i="6"/>
  <c r="AC277" i="6"/>
  <c r="AB277" i="6"/>
  <c r="Z277" i="6"/>
  <c r="W277" i="6"/>
  <c r="C277" i="6"/>
  <c r="AA276" i="6"/>
  <c r="AC276" i="6"/>
  <c r="AB276" i="6"/>
  <c r="Z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AC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9" i="6"/>
  <c r="AC269" i="6"/>
  <c r="AB269" i="6"/>
  <c r="Z269" i="6"/>
  <c r="W269" i="6"/>
  <c r="C269" i="6"/>
  <c r="AA268" i="6"/>
  <c r="AC268" i="6"/>
  <c r="AB268" i="6"/>
  <c r="Z268" i="6"/>
  <c r="W268" i="6"/>
  <c r="C268" i="6"/>
  <c r="AA267" i="6"/>
  <c r="AC267" i="6"/>
  <c r="AB267" i="6"/>
  <c r="Z267" i="6"/>
  <c r="B267" i="6"/>
  <c r="W267" i="6"/>
  <c r="C267" i="6"/>
  <c r="AA266" i="6"/>
  <c r="AC266" i="6"/>
  <c r="AB266" i="6"/>
  <c r="Z266" i="6"/>
  <c r="W266" i="6"/>
  <c r="C266" i="6"/>
  <c r="AA265" i="6"/>
  <c r="AC265" i="6"/>
  <c r="AB265" i="6"/>
  <c r="Z265" i="6"/>
  <c r="W265" i="6"/>
  <c r="C265" i="6"/>
  <c r="AA264" i="6"/>
  <c r="AC264" i="6"/>
  <c r="AB264" i="6"/>
  <c r="Z264" i="6"/>
  <c r="W264" i="6"/>
  <c r="C264" i="6"/>
  <c r="AA263" i="6"/>
  <c r="AC263" i="6"/>
  <c r="AB263" i="6"/>
  <c r="Z263" i="6"/>
  <c r="W263" i="6"/>
  <c r="C263" i="6"/>
  <c r="AA262" i="6"/>
  <c r="AC262" i="6"/>
  <c r="AB262" i="6"/>
  <c r="Z262" i="6"/>
  <c r="W262" i="6"/>
  <c r="C262" i="6"/>
  <c r="AA261" i="6"/>
  <c r="AC261" i="6"/>
  <c r="AB261" i="6"/>
  <c r="Z261" i="6"/>
  <c r="W261" i="6"/>
  <c r="AA260" i="6"/>
  <c r="AC260" i="6"/>
  <c r="AB260" i="6"/>
  <c r="Z260" i="6"/>
  <c r="W260" i="6"/>
  <c r="C260" i="6"/>
  <c r="AA259" i="6"/>
  <c r="AC259" i="6"/>
  <c r="AB259" i="6"/>
  <c r="Z259" i="6"/>
  <c r="W259" i="6"/>
  <c r="C259" i="6"/>
  <c r="AA258" i="6"/>
  <c r="AC258" i="6"/>
  <c r="AB258" i="6"/>
  <c r="Z258" i="6"/>
  <c r="W258" i="6"/>
  <c r="C258" i="6"/>
  <c r="AA257" i="6"/>
  <c r="AC257" i="6"/>
  <c r="AB257" i="6"/>
  <c r="Z257" i="6"/>
  <c r="W257" i="6"/>
  <c r="C257" i="6"/>
  <c r="AA256" i="6"/>
  <c r="AC256" i="6"/>
  <c r="AB256" i="6"/>
  <c r="Z256" i="6"/>
  <c r="W256" i="6"/>
  <c r="C256" i="6"/>
  <c r="AA255" i="6"/>
  <c r="AC255" i="6"/>
  <c r="AB255" i="6"/>
  <c r="Z255" i="6"/>
  <c r="W255" i="6"/>
  <c r="C255" i="6"/>
  <c r="AA254" i="6"/>
  <c r="AC254" i="6"/>
  <c r="AB254" i="6"/>
  <c r="Z254" i="6"/>
  <c r="W254" i="6"/>
  <c r="C254" i="6"/>
  <c r="AA253" i="6"/>
  <c r="AC253" i="6"/>
  <c r="AB253" i="6"/>
  <c r="Z253" i="6"/>
  <c r="W253" i="6"/>
  <c r="C253" i="6"/>
  <c r="AA252" i="6"/>
  <c r="AC252" i="6"/>
  <c r="AB252" i="6"/>
  <c r="Z252" i="6"/>
  <c r="W252" i="6"/>
  <c r="C252" i="6"/>
  <c r="AA251" i="6"/>
  <c r="AC251" i="6"/>
  <c r="AB251" i="6"/>
  <c r="Z251" i="6"/>
  <c r="W251" i="6"/>
  <c r="C251" i="6"/>
  <c r="AA250" i="6"/>
  <c r="AC250" i="6"/>
  <c r="AB250" i="6"/>
  <c r="Z250" i="6"/>
  <c r="W250" i="6"/>
  <c r="C250" i="6"/>
  <c r="AA249" i="6"/>
  <c r="AC249" i="6"/>
  <c r="AB249" i="6"/>
  <c r="Z249" i="6"/>
  <c r="W249" i="6"/>
  <c r="C249" i="6"/>
  <c r="AA248" i="6"/>
  <c r="AC248" i="6"/>
  <c r="AB248" i="6"/>
  <c r="Z248" i="6"/>
  <c r="W248" i="6"/>
  <c r="C248" i="6"/>
  <c r="AA247" i="6"/>
  <c r="AC247" i="6"/>
  <c r="AB247" i="6"/>
  <c r="Z247" i="6"/>
  <c r="W247" i="6"/>
  <c r="C247" i="6"/>
  <c r="AA246" i="6"/>
  <c r="AC246" i="6"/>
  <c r="AB246" i="6"/>
  <c r="Z246" i="6"/>
  <c r="W246" i="6"/>
  <c r="C246" i="6"/>
  <c r="AA245" i="6"/>
  <c r="AC245" i="6"/>
  <c r="AB245" i="6"/>
  <c r="Z245" i="6"/>
  <c r="B245" i="6"/>
  <c r="W245" i="6"/>
  <c r="C245" i="6"/>
  <c r="AA244" i="6"/>
  <c r="AC244" i="6"/>
  <c r="AB244" i="6"/>
  <c r="Z244" i="6"/>
  <c r="W244" i="6"/>
  <c r="C244" i="6"/>
  <c r="AA243" i="6"/>
  <c r="AC243" i="6"/>
  <c r="AB243" i="6"/>
  <c r="Z243" i="6"/>
  <c r="W243" i="6"/>
  <c r="C243" i="6"/>
  <c r="AA242" i="6"/>
  <c r="AC242" i="6"/>
  <c r="AB242" i="6"/>
  <c r="Z242" i="6"/>
  <c r="W242" i="6"/>
  <c r="C242" i="6"/>
  <c r="AA241" i="6"/>
  <c r="AC241" i="6"/>
  <c r="AB241" i="6"/>
  <c r="Z241" i="6"/>
  <c r="W241" i="6"/>
  <c r="C241" i="6"/>
  <c r="AA240" i="6"/>
  <c r="AC240" i="6"/>
  <c r="AB240" i="6"/>
  <c r="Z240" i="6"/>
  <c r="W240" i="6"/>
  <c r="C240" i="6"/>
  <c r="AA239" i="6"/>
  <c r="AC239" i="6"/>
  <c r="AB239" i="6"/>
  <c r="Z239" i="6"/>
  <c r="W239" i="6"/>
  <c r="C239" i="6"/>
  <c r="AA238" i="6"/>
  <c r="AC238" i="6"/>
  <c r="AB238" i="6"/>
  <c r="Z238" i="6"/>
  <c r="W238" i="6"/>
  <c r="C238" i="6"/>
  <c r="AA237" i="6"/>
  <c r="AC237" i="6"/>
  <c r="AB237" i="6"/>
  <c r="Z237" i="6"/>
  <c r="W237" i="6"/>
  <c r="C237" i="6"/>
  <c r="AA236" i="6"/>
  <c r="AC236" i="6"/>
  <c r="AB236" i="6"/>
  <c r="Z236" i="6"/>
  <c r="W236" i="6"/>
  <c r="C236" i="6"/>
  <c r="AA235" i="6"/>
  <c r="AC235" i="6"/>
  <c r="AB235" i="6"/>
  <c r="Z235" i="6"/>
  <c r="W235" i="6"/>
  <c r="C235" i="6"/>
  <c r="AA234" i="6"/>
  <c r="AC234" i="6"/>
  <c r="AB234" i="6"/>
  <c r="Z234" i="6"/>
  <c r="W234" i="6"/>
  <c r="C234" i="6"/>
  <c r="AA233" i="6"/>
  <c r="AC233" i="6"/>
  <c r="AB233" i="6"/>
  <c r="Z233" i="6"/>
  <c r="W233" i="6"/>
  <c r="C233" i="6"/>
  <c r="AA232" i="6"/>
  <c r="AC232" i="6"/>
  <c r="AB232" i="6"/>
  <c r="Z232" i="6"/>
  <c r="C232" i="6"/>
  <c r="AA231" i="6"/>
  <c r="AC231" i="6"/>
  <c r="AB231" i="6"/>
  <c r="Z231" i="6"/>
  <c r="W231" i="6"/>
  <c r="C231" i="6"/>
  <c r="AA230" i="6"/>
  <c r="AC230" i="6"/>
  <c r="AB230" i="6"/>
  <c r="Z230" i="6"/>
  <c r="B230" i="6"/>
  <c r="W230" i="6"/>
  <c r="C230" i="6"/>
  <c r="AA229" i="6"/>
  <c r="AC229" i="6"/>
  <c r="AB229" i="6"/>
  <c r="Z229" i="6"/>
  <c r="W229" i="6"/>
  <c r="C229" i="6"/>
  <c r="AA228" i="6"/>
  <c r="AB228" i="6"/>
  <c r="Z228" i="6"/>
  <c r="W228" i="6"/>
  <c r="C228" i="6"/>
  <c r="AA227" i="6"/>
  <c r="B227" i="6"/>
  <c r="AC227" i="6"/>
  <c r="AB227" i="6"/>
  <c r="Z227" i="6"/>
  <c r="W227" i="6"/>
  <c r="C227" i="6"/>
  <c r="AA226" i="6"/>
  <c r="AB226" i="6"/>
  <c r="Z226" i="6"/>
  <c r="W226" i="6"/>
  <c r="C226" i="6"/>
  <c r="AA225" i="6"/>
  <c r="AB225" i="6"/>
  <c r="Z225" i="6"/>
  <c r="C225" i="6"/>
  <c r="AA224" i="6"/>
  <c r="AC224" i="6"/>
  <c r="AB224" i="6"/>
  <c r="Z224" i="6"/>
  <c r="W224" i="6"/>
  <c r="C224" i="6"/>
  <c r="AA223" i="6"/>
  <c r="B223" i="6"/>
  <c r="AB223" i="6"/>
  <c r="Z223" i="6"/>
  <c r="C223" i="6"/>
  <c r="AA222" i="6"/>
  <c r="AB222" i="6"/>
  <c r="Z222" i="6"/>
  <c r="C222" i="6"/>
  <c r="AA221" i="6"/>
  <c r="B221" i="6"/>
  <c r="AB221" i="6"/>
  <c r="Z221" i="6"/>
  <c r="C221" i="6"/>
  <c r="AA220" i="6"/>
  <c r="B220" i="6"/>
  <c r="AB220" i="6"/>
  <c r="Z220" i="6"/>
  <c r="C220" i="6"/>
  <c r="AA219" i="6"/>
  <c r="B219" i="6"/>
  <c r="AC219" i="6"/>
  <c r="AB219" i="6"/>
  <c r="Z219" i="6"/>
  <c r="W219" i="6"/>
  <c r="C219" i="6"/>
  <c r="AA218" i="6"/>
  <c r="B218" i="6"/>
  <c r="AB218" i="6"/>
  <c r="Z218" i="6"/>
  <c r="W218" i="6"/>
  <c r="C218" i="6"/>
  <c r="AA217" i="6"/>
  <c r="AB217" i="6"/>
  <c r="Z217" i="6"/>
  <c r="C217" i="6"/>
  <c r="AA216" i="6"/>
  <c r="B216" i="6"/>
  <c r="AB216" i="6"/>
  <c r="Z216" i="6"/>
  <c r="W216" i="6"/>
  <c r="C216" i="6"/>
  <c r="AA215" i="6"/>
  <c r="AB215" i="6"/>
  <c r="Z215" i="6"/>
  <c r="C215" i="6"/>
  <c r="AA214" i="6"/>
  <c r="AB214" i="6"/>
  <c r="Z214" i="6"/>
  <c r="W214" i="6"/>
  <c r="C214" i="6"/>
  <c r="AA213" i="6"/>
  <c r="AC213" i="6"/>
  <c r="AB213" i="6"/>
  <c r="Z213" i="6"/>
  <c r="W213" i="6"/>
  <c r="C213" i="6"/>
  <c r="AA212" i="6"/>
  <c r="B212" i="6"/>
  <c r="AC212" i="6"/>
  <c r="AB212" i="6"/>
  <c r="Z212" i="6"/>
  <c r="W212" i="6"/>
  <c r="C212" i="6"/>
  <c r="AA211" i="6"/>
  <c r="AC211" i="6"/>
  <c r="AB211" i="6"/>
  <c r="Z211" i="6"/>
  <c r="W211" i="6"/>
  <c r="C211" i="6"/>
  <c r="AA204" i="6"/>
  <c r="AB204" i="6"/>
  <c r="Z204" i="6"/>
  <c r="W204" i="6"/>
  <c r="C204" i="6"/>
  <c r="AA203" i="6"/>
  <c r="AC203" i="6"/>
  <c r="AB203" i="6"/>
  <c r="Z203" i="6"/>
  <c r="W203" i="6"/>
  <c r="C203" i="6"/>
  <c r="AA202" i="6"/>
  <c r="AC202" i="6"/>
  <c r="AB202" i="6"/>
  <c r="Z202" i="6"/>
  <c r="W202" i="6"/>
  <c r="C202" i="6"/>
  <c r="AA201" i="6"/>
  <c r="AC201" i="6"/>
  <c r="AB201" i="6"/>
  <c r="Z201" i="6"/>
  <c r="W201" i="6"/>
  <c r="C201" i="6"/>
  <c r="AA200" i="6"/>
  <c r="AC200" i="6"/>
  <c r="AB200" i="6"/>
  <c r="Z200" i="6"/>
  <c r="W200" i="6"/>
  <c r="C200" i="6"/>
  <c r="AA199" i="6"/>
  <c r="AC199" i="6"/>
  <c r="AB199" i="6"/>
  <c r="Z199" i="6"/>
  <c r="W199" i="6"/>
  <c r="C199" i="6"/>
  <c r="AA198" i="6"/>
  <c r="AC198" i="6"/>
  <c r="AB198" i="6"/>
  <c r="Z198" i="6"/>
  <c r="C198" i="6"/>
  <c r="AA197" i="6"/>
  <c r="AB197" i="6"/>
  <c r="Z197" i="6"/>
  <c r="C197" i="6"/>
  <c r="AA196" i="6"/>
  <c r="AC196" i="6"/>
  <c r="AB196" i="6"/>
  <c r="Z196" i="6"/>
  <c r="C196" i="6"/>
  <c r="AA195" i="6"/>
  <c r="AC195" i="6"/>
  <c r="AB195" i="6"/>
  <c r="Z195" i="6"/>
  <c r="W195" i="6"/>
  <c r="C195" i="6"/>
  <c r="AA194" i="6"/>
  <c r="AC194" i="6"/>
  <c r="AB194" i="6"/>
  <c r="Z194" i="6"/>
  <c r="W194" i="6"/>
  <c r="C194" i="6"/>
  <c r="AA193" i="6"/>
  <c r="AC193" i="6"/>
  <c r="AB193" i="6"/>
  <c r="Z193" i="6"/>
  <c r="C193" i="6"/>
  <c r="AA192" i="6"/>
  <c r="AB192" i="6"/>
  <c r="Z192" i="6"/>
  <c r="C192" i="6"/>
  <c r="AA191" i="6"/>
  <c r="AC191" i="6"/>
  <c r="AB191" i="6"/>
  <c r="Z191" i="6"/>
  <c r="C191" i="6"/>
  <c r="AA190" i="6"/>
  <c r="AC190" i="6"/>
  <c r="AB190" i="6"/>
  <c r="Z190" i="6"/>
  <c r="C190" i="6"/>
  <c r="AA189" i="6"/>
  <c r="AC189" i="6"/>
  <c r="AB189" i="6"/>
  <c r="Z189" i="6"/>
  <c r="C189" i="6"/>
  <c r="AA188" i="6"/>
  <c r="AB188" i="6"/>
  <c r="Z188" i="6"/>
  <c r="C188" i="6"/>
  <c r="AA187" i="6"/>
  <c r="AC187" i="6"/>
  <c r="AB187" i="6"/>
  <c r="Z187" i="6"/>
  <c r="C187" i="6"/>
  <c r="AA186" i="6"/>
  <c r="AC186" i="6"/>
  <c r="AB186" i="6"/>
  <c r="Z186" i="6"/>
  <c r="C186" i="6"/>
  <c r="AA185" i="6"/>
  <c r="AC185" i="6"/>
  <c r="AB185" i="6"/>
  <c r="Z185" i="6"/>
  <c r="C185" i="6"/>
  <c r="AA184" i="6"/>
  <c r="AB184" i="6"/>
  <c r="Z184" i="6"/>
  <c r="W184" i="6"/>
  <c r="C184" i="6"/>
  <c r="AA183" i="6"/>
  <c r="AB183" i="6"/>
  <c r="Z183" i="6"/>
  <c r="W183" i="6"/>
  <c r="C183" i="6"/>
  <c r="AA182" i="6"/>
  <c r="AC182" i="6"/>
  <c r="AB182" i="6"/>
  <c r="Z182" i="6"/>
  <c r="W182" i="6"/>
  <c r="C182" i="6"/>
  <c r="AA181" i="6"/>
  <c r="AC181" i="6"/>
  <c r="AB181" i="6"/>
  <c r="Z181" i="6"/>
  <c r="W181" i="6"/>
  <c r="C181" i="6"/>
  <c r="AA180" i="6"/>
  <c r="AC180" i="6"/>
  <c r="AB180" i="6"/>
  <c r="Z180" i="6"/>
  <c r="W180" i="6"/>
  <c r="C180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W176" i="6"/>
  <c r="C176" i="6"/>
  <c r="AA175" i="6"/>
  <c r="AC175" i="6"/>
  <c r="AB175" i="6"/>
  <c r="Z175" i="6"/>
  <c r="B175" i="6"/>
  <c r="C175" i="6"/>
  <c r="AA174" i="6"/>
  <c r="AC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B170" i="6"/>
  <c r="W170" i="6"/>
  <c r="C170" i="6"/>
  <c r="AA169" i="6"/>
  <c r="AC169" i="6"/>
  <c r="AB169" i="6"/>
  <c r="Z169" i="6"/>
  <c r="W169" i="6"/>
  <c r="C169" i="6"/>
  <c r="AA168" i="6"/>
  <c r="AC168" i="6"/>
  <c r="AB168" i="6"/>
  <c r="Z168" i="6"/>
  <c r="W168" i="6"/>
  <c r="C168" i="6"/>
  <c r="AA167" i="6"/>
  <c r="AC167" i="6"/>
  <c r="AB167" i="6"/>
  <c r="Z167" i="6"/>
  <c r="W167" i="6"/>
  <c r="C167" i="6"/>
  <c r="AA166" i="6"/>
  <c r="AC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B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AC152" i="6"/>
  <c r="AB152" i="6"/>
  <c r="Z152" i="6"/>
  <c r="W152" i="6"/>
  <c r="C152" i="6"/>
  <c r="AA151" i="6"/>
  <c r="AC151" i="6"/>
  <c r="AB151" i="6"/>
  <c r="Z151" i="6"/>
  <c r="W151" i="6"/>
  <c r="C151" i="6"/>
  <c r="AA150" i="6"/>
  <c r="AC150" i="6"/>
  <c r="AB150" i="6"/>
  <c r="Z150" i="6"/>
  <c r="W150" i="6"/>
  <c r="C150" i="6"/>
  <c r="AA149" i="6"/>
  <c r="AC149" i="6"/>
  <c r="AB149" i="6"/>
  <c r="Z149" i="6"/>
  <c r="W149" i="6"/>
  <c r="C149" i="6"/>
  <c r="AA148" i="6"/>
  <c r="AC148" i="6"/>
  <c r="AB148" i="6"/>
  <c r="Z148" i="6"/>
  <c r="C148" i="6"/>
  <c r="AA147" i="6"/>
  <c r="AC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B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C141" i="6"/>
  <c r="AB141" i="6"/>
  <c r="Z141" i="6"/>
  <c r="C141" i="6"/>
  <c r="AA140" i="6"/>
  <c r="AC140" i="6"/>
  <c r="AB140" i="6"/>
  <c r="Z140" i="6"/>
  <c r="W140" i="6"/>
  <c r="C140" i="6"/>
  <c r="AA139" i="6"/>
  <c r="AC139" i="6"/>
  <c r="AB139" i="6"/>
  <c r="Z139" i="6"/>
  <c r="W139" i="6"/>
  <c r="C139" i="6"/>
  <c r="AA138" i="6"/>
  <c r="AC138" i="6"/>
  <c r="AB138" i="6"/>
  <c r="Z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W136" i="6"/>
  <c r="C136" i="6"/>
  <c r="AA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C133" i="6"/>
  <c r="AB133" i="6"/>
  <c r="Z133" i="6"/>
  <c r="W133" i="6"/>
  <c r="C133" i="6"/>
  <c r="AA132" i="6"/>
  <c r="AC132" i="6"/>
  <c r="AB132" i="6"/>
  <c r="Z132" i="6"/>
  <c r="W132" i="6"/>
  <c r="C132" i="6"/>
  <c r="AA131" i="6"/>
  <c r="AC131" i="6"/>
  <c r="AB131" i="6"/>
  <c r="Z131" i="6"/>
  <c r="W131" i="6"/>
  <c r="C131" i="6"/>
  <c r="AA129" i="6"/>
  <c r="AC129" i="6"/>
  <c r="AB129" i="6"/>
  <c r="Z129" i="6"/>
  <c r="W129" i="6"/>
  <c r="C129" i="6"/>
  <c r="AA128" i="6"/>
  <c r="AC128" i="6"/>
  <c r="AB128" i="6"/>
  <c r="Z128" i="6"/>
  <c r="W128" i="6"/>
  <c r="C128" i="6"/>
  <c r="AA127" i="6"/>
  <c r="AC127" i="6"/>
  <c r="AB127" i="6"/>
  <c r="Z127" i="6"/>
  <c r="W127" i="6"/>
  <c r="C127" i="6"/>
  <c r="AA126" i="6"/>
  <c r="AC126" i="6"/>
  <c r="O126" i="6"/>
  <c r="Z126" i="6"/>
  <c r="C126" i="6"/>
  <c r="AA125" i="6"/>
  <c r="AC125" i="6"/>
  <c r="AB125" i="6"/>
  <c r="Z125" i="6"/>
  <c r="W125" i="6"/>
  <c r="C125" i="6"/>
  <c r="AA124" i="6"/>
  <c r="AC124" i="6"/>
  <c r="AB124" i="6"/>
  <c r="Z124" i="6"/>
  <c r="W124" i="6"/>
  <c r="C124" i="6"/>
  <c r="AA123" i="6"/>
  <c r="AC123" i="6"/>
  <c r="AB123" i="6"/>
  <c r="Z123" i="6"/>
  <c r="W123" i="6"/>
  <c r="C123" i="6"/>
  <c r="AA122" i="6"/>
  <c r="AC122" i="6"/>
  <c r="AB122" i="6"/>
  <c r="Z122" i="6"/>
  <c r="W122" i="6"/>
  <c r="C122" i="6"/>
  <c r="AA121" i="6"/>
  <c r="AC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B118" i="6"/>
  <c r="W118" i="6"/>
  <c r="C118" i="6"/>
  <c r="AA117" i="6"/>
  <c r="AC117" i="6"/>
  <c r="AB117" i="6"/>
  <c r="Z117" i="6"/>
  <c r="W117" i="6"/>
  <c r="C117" i="6"/>
  <c r="AA116" i="6"/>
  <c r="AC116" i="6"/>
  <c r="AB116" i="6"/>
  <c r="Z116" i="6"/>
  <c r="W116" i="6"/>
  <c r="C116" i="6"/>
  <c r="AA115" i="6"/>
  <c r="AC115" i="6"/>
  <c r="AB115" i="6"/>
  <c r="Z115" i="6"/>
  <c r="B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W106" i="6"/>
  <c r="C106" i="6"/>
  <c r="AA105" i="6"/>
  <c r="AC105" i="6"/>
  <c r="AB105" i="6"/>
  <c r="Z105" i="6"/>
  <c r="W105" i="6"/>
  <c r="C105" i="6"/>
  <c r="AA104" i="6"/>
  <c r="AC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B97" i="6"/>
  <c r="W97" i="6"/>
  <c r="C97" i="6"/>
  <c r="AA96" i="6"/>
  <c r="AC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C91" i="6"/>
  <c r="AB91" i="6"/>
  <c r="Z91" i="6"/>
  <c r="W91" i="6"/>
  <c r="C91" i="6"/>
  <c r="AA90" i="6"/>
  <c r="AC90" i="6"/>
  <c r="AB90" i="6"/>
  <c r="Z90" i="6"/>
  <c r="W90" i="6"/>
  <c r="C90" i="6"/>
  <c r="AA89" i="6"/>
  <c r="AC89" i="6"/>
  <c r="AB89" i="6"/>
  <c r="Z89" i="6"/>
  <c r="W89" i="6"/>
  <c r="C89" i="6"/>
  <c r="AA88" i="6"/>
  <c r="AC88" i="6"/>
  <c r="AB88" i="6"/>
  <c r="Z88" i="6"/>
  <c r="W88" i="6"/>
  <c r="C88" i="6"/>
  <c r="AA87" i="6"/>
  <c r="AC87" i="6"/>
  <c r="AB87" i="6"/>
  <c r="Z87" i="6"/>
  <c r="W87" i="6"/>
  <c r="C87" i="6"/>
  <c r="AA86" i="6"/>
  <c r="AC86" i="6"/>
  <c r="AB86" i="6"/>
  <c r="Z86" i="6"/>
  <c r="W86" i="6"/>
  <c r="C86" i="6"/>
  <c r="AA85" i="6"/>
  <c r="AC85" i="6"/>
  <c r="AB85" i="6"/>
  <c r="Z85" i="6"/>
  <c r="W85" i="6"/>
  <c r="C85" i="6"/>
  <c r="AA84" i="6"/>
  <c r="AC84" i="6"/>
  <c r="AB84" i="6"/>
  <c r="Z84" i="6"/>
  <c r="W84" i="6"/>
  <c r="C84" i="6"/>
  <c r="AA83" i="6"/>
  <c r="AC83" i="6"/>
  <c r="AB83" i="6"/>
  <c r="Z83" i="6"/>
  <c r="W83" i="6"/>
  <c r="C83" i="6"/>
  <c r="AA82" i="6"/>
  <c r="AC82" i="6"/>
  <c r="AB82" i="6"/>
  <c r="Z82" i="6"/>
  <c r="W82" i="6"/>
  <c r="C82" i="6"/>
  <c r="AA81" i="6"/>
  <c r="AC81" i="6"/>
  <c r="AB81" i="6"/>
  <c r="Z81" i="6"/>
  <c r="W81" i="6"/>
  <c r="C81" i="6"/>
  <c r="AA80" i="6"/>
  <c r="AC80" i="6"/>
  <c r="AB80" i="6"/>
  <c r="Z80" i="6"/>
  <c r="W80" i="6"/>
  <c r="C80" i="6"/>
  <c r="AA79" i="6"/>
  <c r="AC79" i="6"/>
  <c r="AB79" i="6"/>
  <c r="Z79" i="6"/>
  <c r="W79" i="6"/>
  <c r="C79" i="6"/>
  <c r="AA78" i="6"/>
  <c r="AC78" i="6"/>
  <c r="AB78" i="6"/>
  <c r="Z78" i="6"/>
  <c r="W78" i="6"/>
  <c r="C78" i="6"/>
  <c r="AA77" i="6"/>
  <c r="AC77" i="6"/>
  <c r="AB77" i="6"/>
  <c r="Z77" i="6"/>
  <c r="W77" i="6"/>
  <c r="C77" i="6"/>
  <c r="AA76" i="6"/>
  <c r="AC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W71" i="6"/>
  <c r="C71" i="6"/>
  <c r="AA70" i="6"/>
  <c r="AC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W68" i="6"/>
  <c r="C68" i="6"/>
  <c r="AA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B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265" i="6"/>
  <c r="B276" i="6"/>
  <c r="B284" i="6"/>
  <c r="B294" i="6"/>
  <c r="B302" i="6"/>
  <c r="B310" i="6"/>
  <c r="B318" i="6"/>
  <c r="B326" i="6"/>
  <c r="B57" i="6"/>
  <c r="B84" i="6"/>
  <c r="B98" i="6"/>
  <c r="B268" i="6"/>
  <c r="B271" i="6"/>
  <c r="B433" i="6"/>
  <c r="B108" i="6"/>
  <c r="B72" i="6"/>
  <c r="B462" i="6"/>
  <c r="B464" i="6"/>
  <c r="B10" i="6"/>
  <c r="B18" i="6"/>
  <c r="B26" i="6"/>
  <c r="B102" i="6"/>
  <c r="B122" i="6"/>
  <c r="B155" i="6"/>
  <c r="B272" i="6"/>
  <c r="B280" i="6"/>
  <c r="B290" i="6"/>
  <c r="B298" i="6"/>
  <c r="B306" i="6"/>
  <c r="B314" i="6"/>
  <c r="B322" i="6"/>
  <c r="B330" i="6"/>
  <c r="B338" i="6"/>
  <c r="B53" i="6"/>
  <c r="B105" i="6"/>
  <c r="B163" i="6"/>
  <c r="B250" i="6"/>
  <c r="B253" i="6"/>
  <c r="B269" i="6"/>
  <c r="B429" i="6"/>
  <c r="B442" i="6"/>
  <c r="B45" i="6"/>
  <c r="B88" i="6"/>
  <c r="B117" i="6"/>
  <c r="B131" i="6"/>
  <c r="B139" i="6"/>
  <c r="B242" i="6"/>
  <c r="B357" i="6"/>
  <c r="B365" i="6"/>
  <c r="B373" i="6"/>
  <c r="B381" i="6"/>
  <c r="B389" i="6"/>
  <c r="B397" i="6"/>
  <c r="B405" i="6"/>
  <c r="B413" i="6"/>
  <c r="B421" i="6"/>
  <c r="B432" i="6"/>
  <c r="B37" i="6"/>
  <c r="B68" i="6"/>
  <c r="B106" i="6"/>
  <c r="B234" i="6"/>
  <c r="B342" i="6"/>
  <c r="B334" i="6"/>
  <c r="B126" i="6"/>
  <c r="B69" i="6"/>
  <c r="B85" i="6"/>
  <c r="B111" i="6"/>
  <c r="B92" i="6"/>
  <c r="B165" i="6"/>
  <c r="B193" i="6"/>
  <c r="B151" i="6"/>
  <c r="B49" i="6"/>
  <c r="B73" i="6"/>
  <c r="B89" i="6"/>
  <c r="B96" i="6"/>
  <c r="B112" i="6"/>
  <c r="B119" i="6"/>
  <c r="B123" i="6"/>
  <c r="B142" i="6"/>
  <c r="B169" i="6"/>
  <c r="B196" i="6"/>
  <c r="B246" i="6"/>
  <c r="B249" i="6"/>
  <c r="B273" i="6"/>
  <c r="B277" i="6"/>
  <c r="B281" i="6"/>
  <c r="B287" i="6"/>
  <c r="B291" i="6"/>
  <c r="B295" i="6"/>
  <c r="B299" i="6"/>
  <c r="B303" i="6"/>
  <c r="B307" i="6"/>
  <c r="B311" i="6"/>
  <c r="B315" i="6"/>
  <c r="B319" i="6"/>
  <c r="B323" i="6"/>
  <c r="B327" i="6"/>
  <c r="B331" i="6"/>
  <c r="B335" i="6"/>
  <c r="B339" i="6"/>
  <c r="B343" i="6"/>
  <c r="B347" i="6"/>
  <c r="B436" i="6"/>
  <c r="B182" i="6"/>
  <c r="B64" i="6"/>
  <c r="B80" i="6"/>
  <c r="B100" i="6"/>
  <c r="B116" i="6"/>
  <c r="B162" i="6"/>
  <c r="B185" i="6"/>
  <c r="B263" i="6"/>
  <c r="B350" i="6"/>
  <c r="B467" i="6"/>
  <c r="B76" i="6"/>
  <c r="B237" i="6"/>
  <c r="B14" i="6"/>
  <c r="B22" i="6"/>
  <c r="B61" i="6"/>
  <c r="B30" i="6"/>
  <c r="B41" i="6"/>
  <c r="B77" i="6"/>
  <c r="B93" i="6"/>
  <c r="B104" i="6"/>
  <c r="B113" i="6"/>
  <c r="B120" i="6"/>
  <c r="B135" i="6"/>
  <c r="B147" i="6"/>
  <c r="B160" i="6"/>
  <c r="B166" i="6"/>
  <c r="B172" i="6"/>
  <c r="B213" i="6"/>
  <c r="B238" i="6"/>
  <c r="B241" i="6"/>
  <c r="B465" i="6"/>
  <c r="B130" i="6"/>
  <c r="B428" i="6"/>
  <c r="B65" i="6"/>
  <c r="B81" i="6"/>
  <c r="B94" i="6"/>
  <c r="B101" i="6"/>
  <c r="B114" i="6"/>
  <c r="B121" i="6"/>
  <c r="B143" i="6"/>
  <c r="B167" i="6"/>
  <c r="B233" i="6"/>
  <c r="B264" i="6"/>
  <c r="B275" i="6"/>
  <c r="B279" i="6"/>
  <c r="B283" i="6"/>
  <c r="B289" i="6"/>
  <c r="B293" i="6"/>
  <c r="B297" i="6"/>
  <c r="B301" i="6"/>
  <c r="B305" i="6"/>
  <c r="B309" i="6"/>
  <c r="B313" i="6"/>
  <c r="B317" i="6"/>
  <c r="B321" i="6"/>
  <c r="B325" i="6"/>
  <c r="B329" i="6"/>
  <c r="B333" i="6"/>
  <c r="B337" i="6"/>
  <c r="B341" i="6"/>
  <c r="B345" i="6"/>
  <c r="AB126" i="6"/>
  <c r="B353" i="6"/>
  <c r="B7" i="6"/>
  <c r="B11" i="6"/>
  <c r="B15" i="6"/>
  <c r="B19" i="6"/>
  <c r="B23" i="6"/>
  <c r="B27" i="6"/>
  <c r="B34" i="6"/>
  <c r="B38" i="6"/>
  <c r="B42" i="6"/>
  <c r="B46" i="6"/>
  <c r="B50" i="6"/>
  <c r="B54" i="6"/>
  <c r="B58" i="6"/>
  <c r="B62" i="6"/>
  <c r="B127" i="6"/>
  <c r="B132" i="6"/>
  <c r="B136" i="6"/>
  <c r="B140" i="6"/>
  <c r="B148" i="6"/>
  <c r="B152" i="6"/>
  <c r="B156" i="6"/>
  <c r="B173" i="6"/>
  <c r="B176" i="6"/>
  <c r="B180" i="6"/>
  <c r="B231" i="6"/>
  <c r="B354" i="6"/>
  <c r="B358" i="6"/>
  <c r="B362" i="6"/>
  <c r="B366" i="6"/>
  <c r="B370" i="6"/>
  <c r="B374" i="6"/>
  <c r="B378" i="6"/>
  <c r="B382" i="6"/>
  <c r="B386" i="6"/>
  <c r="B390" i="6"/>
  <c r="B394" i="6"/>
  <c r="B398" i="6"/>
  <c r="B402" i="6"/>
  <c r="B406" i="6"/>
  <c r="B410" i="6"/>
  <c r="B414" i="6"/>
  <c r="B418" i="6"/>
  <c r="B422" i="6"/>
  <c r="B426" i="6"/>
  <c r="B430" i="6"/>
  <c r="B434" i="6"/>
  <c r="B90" i="6"/>
  <c r="B211" i="6"/>
  <c r="B235" i="6"/>
  <c r="B239" i="6"/>
  <c r="B243" i="6"/>
  <c r="B247" i="6"/>
  <c r="B251" i="6"/>
  <c r="B262" i="6"/>
  <c r="B266" i="6"/>
  <c r="B270" i="6"/>
  <c r="B274" i="6"/>
  <c r="B278" i="6"/>
  <c r="B282" i="6"/>
  <c r="B288" i="6"/>
  <c r="B292" i="6"/>
  <c r="B296" i="6"/>
  <c r="B300" i="6"/>
  <c r="B304" i="6"/>
  <c r="B308" i="6"/>
  <c r="B312" i="6"/>
  <c r="B316" i="6"/>
  <c r="B320" i="6"/>
  <c r="B324" i="6"/>
  <c r="B328" i="6"/>
  <c r="B332" i="6"/>
  <c r="B336" i="6"/>
  <c r="B340" i="6"/>
  <c r="B344" i="6"/>
  <c r="B348" i="6"/>
  <c r="B456" i="6"/>
  <c r="B463" i="6"/>
  <c r="B74" i="6"/>
  <c r="B86" i="6"/>
  <c r="B20" i="6"/>
  <c r="B24" i="6"/>
  <c r="B28" i="6"/>
  <c r="B31" i="6"/>
  <c r="B35" i="6"/>
  <c r="B39" i="6"/>
  <c r="B43" i="6"/>
  <c r="B47" i="6"/>
  <c r="B51" i="6"/>
  <c r="B55" i="6"/>
  <c r="B59" i="6"/>
  <c r="B128" i="6"/>
  <c r="B133" i="6"/>
  <c r="B137" i="6"/>
  <c r="B146" i="6"/>
  <c r="B149" i="6"/>
  <c r="B153" i="6"/>
  <c r="B157" i="6"/>
  <c r="B171" i="6"/>
  <c r="B177" i="6"/>
  <c r="B351" i="6"/>
  <c r="B355" i="6"/>
  <c r="B359" i="6"/>
  <c r="B363" i="6"/>
  <c r="B367" i="6"/>
  <c r="B371" i="6"/>
  <c r="B375" i="6"/>
  <c r="B379" i="6"/>
  <c r="B383" i="6"/>
  <c r="B387" i="6"/>
  <c r="B391" i="6"/>
  <c r="B395" i="6"/>
  <c r="B399" i="6"/>
  <c r="B403" i="6"/>
  <c r="B407" i="6"/>
  <c r="B411" i="6"/>
  <c r="B415" i="6"/>
  <c r="B419" i="6"/>
  <c r="B423" i="6"/>
  <c r="B427" i="6"/>
  <c r="B431" i="6"/>
  <c r="B454" i="6"/>
  <c r="B466" i="6"/>
  <c r="B110" i="6"/>
  <c r="B66" i="6"/>
  <c r="B78" i="6"/>
  <c r="B8" i="6"/>
  <c r="B16" i="6"/>
  <c r="B67" i="6"/>
  <c r="B71" i="6"/>
  <c r="B75" i="6"/>
  <c r="B79" i="6"/>
  <c r="B83" i="6"/>
  <c r="B87" i="6"/>
  <c r="B91" i="6"/>
  <c r="B95" i="6"/>
  <c r="B99" i="6"/>
  <c r="B103" i="6"/>
  <c r="B107" i="6"/>
  <c r="B141" i="6"/>
  <c r="B164" i="6"/>
  <c r="B168" i="6"/>
  <c r="B174" i="6"/>
  <c r="B232" i="6"/>
  <c r="B236" i="6"/>
  <c r="B240" i="6"/>
  <c r="B244" i="6"/>
  <c r="B248" i="6"/>
  <c r="B446" i="6"/>
  <c r="B461" i="6"/>
  <c r="B70" i="6"/>
  <c r="B82" i="6"/>
  <c r="B12" i="6"/>
  <c r="B9" i="6"/>
  <c r="B13" i="6"/>
  <c r="B17" i="6"/>
  <c r="B21" i="6"/>
  <c r="B25" i="6"/>
  <c r="B29" i="6"/>
  <c r="B32" i="6"/>
  <c r="B36" i="6"/>
  <c r="B40" i="6"/>
  <c r="B44" i="6"/>
  <c r="B48" i="6"/>
  <c r="B52" i="6"/>
  <c r="B56" i="6"/>
  <c r="B60" i="6"/>
  <c r="B125" i="6"/>
  <c r="B129" i="6"/>
  <c r="B134" i="6"/>
  <c r="B138" i="6"/>
  <c r="B144" i="6"/>
  <c r="B150" i="6"/>
  <c r="B154" i="6"/>
  <c r="B158" i="6"/>
  <c r="B161" i="6"/>
  <c r="B349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400" i="6"/>
  <c r="B404" i="6"/>
  <c r="B408" i="6"/>
  <c r="B412" i="6"/>
  <c r="B416" i="6"/>
  <c r="B420" i="6"/>
  <c r="B424" i="6"/>
  <c r="B449" i="6"/>
  <c r="B257" i="6"/>
  <c r="B254" i="6"/>
  <c r="B258" i="6"/>
  <c r="B255" i="6"/>
  <c r="B259" i="6"/>
  <c r="B252" i="6"/>
  <c r="B256" i="6"/>
  <c r="B260" i="6"/>
  <c r="B191" i="6"/>
  <c r="B199" i="6"/>
  <c r="B189" i="6"/>
  <c r="B194" i="6"/>
  <c r="B187" i="6"/>
  <c r="B190" i="6"/>
  <c r="B186" i="6"/>
  <c r="B198" i="6"/>
  <c r="AC220" i="6"/>
  <c r="BS3" i="7"/>
  <c r="BS2" i="7"/>
  <c r="B452" i="6"/>
  <c r="B460" i="6"/>
  <c r="B459" i="6"/>
  <c r="B457" i="6"/>
  <c r="B458" i="6"/>
  <c r="B445" i="6"/>
  <c r="B443" i="6"/>
  <c r="B450" i="6"/>
  <c r="B437" i="6"/>
  <c r="B438" i="6"/>
  <c r="AC452" i="6"/>
  <c r="B447" i="6"/>
  <c r="B451" i="6"/>
  <c r="B444" i="6"/>
  <c r="B448" i="6"/>
  <c r="B453" i="6"/>
  <c r="B203" i="6"/>
  <c r="B179" i="6"/>
  <c r="B178" i="6"/>
  <c r="B224" i="6"/>
  <c r="B4" i="6"/>
  <c r="B197" i="6"/>
  <c r="B5" i="6"/>
  <c r="B124" i="6"/>
  <c r="B192" i="6"/>
  <c r="AC4" i="6"/>
  <c r="B3" i="6"/>
  <c r="B200" i="6"/>
  <c r="B202" i="6"/>
  <c r="AC455" i="6"/>
  <c r="B183" i="6"/>
  <c r="B188" i="6"/>
  <c r="B204" i="6"/>
  <c r="B184" i="6"/>
  <c r="B214" i="6"/>
  <c r="B215" i="6"/>
  <c r="AC215" i="6"/>
  <c r="AC216" i="6"/>
  <c r="B228" i="6"/>
  <c r="AC228" i="6"/>
  <c r="B222" i="6"/>
  <c r="AC222" i="6"/>
  <c r="B229" i="6"/>
  <c r="AC218" i="6"/>
  <c r="AC214" i="6"/>
  <c r="AC204" i="6"/>
  <c r="B195" i="6"/>
  <c r="AC184" i="6"/>
  <c r="B181" i="6"/>
  <c r="B201" i="6"/>
  <c r="AC183" i="6"/>
  <c r="AC188" i="6"/>
  <c r="AC197" i="6"/>
  <c r="AC192" i="6"/>
  <c r="AC221" i="6"/>
  <c r="B217" i="6"/>
  <c r="AC217" i="6"/>
  <c r="B225" i="6"/>
  <c r="AC225" i="6"/>
  <c r="B226" i="6"/>
  <c r="AC226" i="6"/>
  <c r="AC223" i="6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<sst xmlns="http://schemas.openxmlformats.org/spreadsheetml/2006/main" count="5124" uniqueCount="1408">
  <si>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</si>
  <si>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</si>
  <si>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</si>
  <si>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</si>
  <si>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</si>
  <si>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</si>
  <si>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</si>
  <si>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</si>
  <si>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</si>
  <si>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</si>
  <si>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</si>
  <si>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</si>
  <si>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</si>
  <si>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</si>
  <si>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</si>
  <si>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</si>
  <si>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</si>
  <si>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</si>
  <si>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</si>
  <si>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</si>
  <si>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</si>
  <si>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</si>
  <si>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</si>
  <si>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</si>
  <si>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</si>
  <si>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</si>
  <si>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</si>
  <si>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</si>
  <si>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</si>
  <si>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</si>
  <si>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</si>
  <si>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</si>
  <si>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</si>
  <si>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</si>
  <si>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</si>
  <si>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</si>
  <si>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</si>
  <si>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</si>
  <si>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</si>
  <si>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</si>
  <si>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</si>
  <si>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</si>
  <si>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</si>
  <si>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</si>
  <si>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</si>
  <si>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</si>
  <si>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</si>
  <si>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</si>
  <si>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</si>
  <si>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</si>
  <si>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</si>
  <si>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</si>
  <si>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</si>
  <si>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</si>
  <si>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</si>
  <si>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</si>
  <si>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</si>
  <si>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</si>
  <si>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</si>
  <si>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</si>
  <si>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</si>
  <si>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</si>
  <si>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</si>
  <si>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</si>
  <si>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</si>
  <si>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</si>
  <si>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</si>
  <si>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</si>
  <si>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</si>
  <si>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</si>
  <si>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</si>
  <si>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</si>
  <si>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</si>
  <si>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</si>
  <si>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</si>
  <si>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</si>
  <si>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</si>
  <si>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</si>
  <si>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</si>
  <si>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</si>
  <si>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</si>
  <si>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</si>
  <si>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</si>
  <si>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</si>
  <si>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</si>
  <si>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</si>
  <si>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</si>
  <si>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</si>
  <si>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</si>
  <si>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</si>
  <si>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</si>
  <si>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</si>
  <si>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</si>
  <si>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</si>
  <si>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</si>
  <si>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</si>
  <si>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</si>
  <si>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</si>
  <si>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</si>
  <si>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</si>
  <si>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</si>
  <si>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</si>
  <si>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</si>
  <si>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</si>
  <si>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</si>
  <si>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</si>
  <si>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</si>
  <si>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</si>
  <si>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</si>
  <si>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</si>
  <si>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</si>
  <si>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</si>
  <si>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</si>
  <si>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</si>
  <si>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</si>
  <si>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</si>
  <si>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</si>
  <si>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</si>
  <si>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</si>
  <si>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</si>
  <si>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</si>
  <si>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</si>
  <si>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</si>
  <si>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</si>
  <si>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</si>
  <si>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</si>
  <si>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</si>
  <si>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</si>
  <si>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</si>
  <si>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</si>
  <si>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</si>
  <si>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</si>
  <si>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</si>
  <si>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</si>
  <si>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</si>
  <si>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</si>
  <si>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</si>
  <si>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</si>
  <si>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</si>
  <si>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</si>
  <si>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</si>
  <si>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</si>
  <si>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</si>
  <si>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</si>
  <si>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</si>
  <si>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</si>
  <si>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</si>
  <si>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</si>
  <si>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</si>
  <si>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</si>
  <si>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</si>
  <si>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</si>
  <si>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</si>
  <si>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</si>
  <si>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</si>
  <si>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</si>
  <si>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</si>
  <si>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</si>
  <si>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</si>
  <si>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</si>
  <si>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</si>
  <si>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</si>
  <si>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</si>
  <si>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</si>
  <si>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</si>
  <si>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</si>
  <si>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</si>
  <si>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</si>
  <si>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</si>
  <si>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</si>
  <si>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</si>
  <si>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</si>
  <si>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</si>
  <si>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</si>
  <si>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</si>
  <si>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</si>
  <si>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</si>
  <si>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</si>
  <si>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</si>
  <si>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</si>
  <si>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</si>
  <si>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</si>
  <si>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</si>
  <si>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</si>
  <si>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</si>
  <si>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</si>
  <si>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</si>
  <si>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</si>
  <si>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</si>
  <si>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</si>
  <si>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</si>
  <si>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</si>
  <si>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</si>
  <si>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</si>
  <si>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</si>
  <si>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</si>
  <si>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</si>
  <si>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</si>
  <si>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</si>
  <si>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</si>
  <si>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</si>
  <si>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</si>
  <si>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</si>
  <si>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</si>
  <si>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</si>
  <si>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</si>
  <si>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</si>
  <si>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</si>
  <si>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</si>
  <si>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</si>
  <si>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</si>
  <si>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</si>
  <si>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</si>
  <si>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</si>
  <si>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</si>
  <si>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</si>
  <si>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</si>
  <si>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</si>
  <si>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</si>
  <si>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</si>
  <si>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</si>
  <si>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</si>
  <si>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</si>
  <si>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</si>
  <si>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</si>
  <si>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</si>
  <si>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</si>
  <si>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</si>
  <si>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</si>
  <si>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</si>
  <si>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</si>
  <si>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</si>
  <si>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</si>
  <si>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</si>
  <si>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</si>
  <si>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</si>
  <si>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</si>
  <si>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</si>
  <si>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</si>
  <si>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</si>
  <si>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</si>
  <si>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</si>
  <si>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</si>
  <si>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</si>
  <si>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</si>
  <si>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</si>
  <si>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</si>
  <si>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</si>
  <si>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</si>
  <si>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</si>
  <si>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</si>
  <si>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</si>
  <si>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</si>
  <si>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</si>
  <si>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</si>
  <si>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</si>
  <si>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</si>
  <si>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</si>
  <si>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</si>
  <si>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</si>
  <si>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</si>
  <si>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</si>
  <si>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</si>
  <si>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</si>
  <si>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</si>
  <si>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</si>
  <si>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</si>
  <si>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</si>
  <si>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</si>
  <si>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</si>
  <si>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</si>
  <si>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</si>
  <si>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</si>
  <si>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</si>
  <si>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</si>
  <si>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</si>
  <si>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</si>
  <si>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</si>
  <si>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</si>
  <si>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</si>
  <si>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</si>
  <si>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</si>
  <si>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</si>
  <si>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</si>
  <si>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</si>
  <si>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</si>
  <si>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</si>
  <si>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</si>
  <si>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</si>
  <si>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</si>
  <si>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</si>
  <si>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</si>
  <si>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</si>
  <si>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</si>
  <si>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</si>
  <si>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</si>
  <si>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</si>
  <si>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</si>
  <si>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</si>
  <si>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</si>
  <si>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</si>
  <si>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</si>
  <si>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</si>
  <si>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</si>
  <si>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</si>
  <si>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</si>
  <si>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</si>
  <si>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</si>
  <si>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</si>
  <si>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</si>
  <si>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</si>
  <si>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</si>
  <si>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</si>
  <si>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</si>
  <si>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</si>
  <si>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</si>
  <si>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</si>
  <si>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</si>
  <si>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</si>
  <si>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</si>
  <si>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</si>
  <si>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</si>
  <si>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</si>
  <si>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</si>
  <si>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</si>
  <si>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</si>
  <si>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</si>
  <si>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</si>
  <si>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</si>
  <si>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</si>
  <si>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</si>
  <si>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</si>
  <si>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</si>
  <si>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</si>
  <si>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</si>
  <si>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</si>
  <si>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</si>
  <si>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</si>
  <si>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</si>
  <si>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</si>
  <si>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</si>
  <si>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</si>
  <si>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</si>
  <si>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</si>
  <si>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</si>
  <si>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</si>
  <si>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</si>
  <si>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</si>
  <si>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</si>
  <si>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</si>
  <si>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</si>
  <si>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</si>
  <si>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</si>
  <si>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</si>
  <si>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</si>
  <si>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</si>
  <si>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</si>
  <si>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</si>
  <si>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</si>
  <si>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</si>
  <si>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</si>
  <si>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</si>
  <si>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</si>
  <si>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</si>
  <si>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</si>
  <si>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</si>
  <si>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</si>
  <si>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</si>
  <si>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</si>
  <si>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</si>
  <si>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</si>
  <si>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</si>
  <si>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</si>
  <si>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</si>
  <si>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</si>
  <si>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</si>
  <si>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</si>
  <si>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</si>
  <si>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</si>
  <si>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</si>
  <si>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</si>
  <si>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</si>
  <si>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</si>
  <si>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</si>
  <si>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</si>
  <si>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</si>
  <si>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</si>
  <si>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</si>
  <si>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</si>
  <si>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</si>
  <si>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</si>
  <si>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</si>
  <si>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</si>
  <si>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</si>
  <si>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</si>
  <si>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</si>
  <si>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</si>
  <si>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</si>
  <si>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</si>
  <si>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</si>
  <si>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</si>
  <si>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</si>
  <si>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</si>
  <si>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</si>
  <si>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</si>
  <si>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</si>
  <si>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</si>
  <si>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</si>
  <si>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</si>
  <si>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</si>
  <si>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</si>
  <si>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</si>
  <si>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</si>
  <si>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</si>
  <si>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</si>
  <si>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</si>
  <si>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</si>
  <si>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</si>
  <si>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</si>
  <si>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</si>
  <si>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</si>
  <si>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</si>
  <si>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</si>
  <si>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</si>
  <si>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</si>
  <si>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</si>
  <si>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</si>
  <si>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</si>
  <si>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</si>
  <si>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</si>
  <si>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</si>
  <si>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</si>
  <si>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</si>
  <si>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</si>
  <si>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</si>
  <si>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</si>
  <si>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</si>
  <si>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</si>
  <si>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</si>
  <si>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</si>
  <si>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</si>
  <si>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</si>
  <si>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</si>
  <si>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</si>
  <si>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</si>
  <si>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</si>
  <si>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</si>
  <si>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</si>
  <si>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</si>
  <si>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</si>
  <si>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</si>
  <si>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</si>
  <si>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</si>
  <si>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</si>
  <si>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</si>
  <si>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</si>
  <si>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</si>
  <si>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</si>
  <si>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</si>
  <si>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</si>
  <si>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</si>
  <si>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</si>
  <si>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</si>
  <si>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</si>
  <si>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</si>
  <si>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</si>
  <si>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</si>
  <si>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</si>
  <si>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</si>
  <si>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</si>
  <si>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</si>
  <si>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</si>
  <si>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</si>
  <si>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</si>
  <si>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</si>
  <si>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</si>
  <si>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</si>
  <si>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</si>
  <si>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</si>
  <si>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</si>
  <si>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</si>
  <si>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</si>
  <si>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</si>
  <si>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</si>
  <si>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</si>
  <si>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</si>
  <si>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</si>
  <si>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</si>
  <si>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</si>
  <si>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</si>
  <si>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</si>
  <si>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</si>
  <si>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</si>
  <si>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</si>
  <si>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</si>
  <si>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</si>
  <si>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</si>
  <si>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</si>
  <si>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</si>
  <si>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</si>
  <si>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</si>
  <si>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</si>
  <si>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</si>
  <si>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</si>
  <si>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</si>
  <si>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</si>
  <si>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</si>
  <si>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</si>
  <si>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</si>
  <si>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</si>
  <si>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</si>
  <si>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</si>
  <si>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</si>
  <si>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</si>
  <si>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</si>
  <si>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</si>
  <si>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</si>
  <si>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</si>
  <si>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</si>
  <si>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</si>
  <si>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</si>
  <si>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</si>
  <si>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</si>
  <si>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</si>
  <si>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</si>
  <si>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</si>
  <si>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</si>
  <si>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</si>
  <si>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</si>
  <si>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</si>
  <si>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</si>
  <si>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</si>
  <si>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</si>
  <si>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</si>
  <si>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</si>
  <si>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</si>
  <si>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</si>
  <si>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</si>
  <si>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</si>
  <si>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</si>
  <si>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</si>
  <si>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</si>
  <si>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</si>
  <si>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</si>
  <si>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</si>
  <si>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</si>
  <si>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</si>
  <si>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</si>
  <si>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</si>
  <si>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</si>
  <si>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</si>
  <si>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</si>
  <si>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</si>
  <si>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</si>
  <si>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</si>
  <si>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</si>
  <si>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</si>
  <si>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</si>
  <si>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</si>
  <si>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</si>
  <si>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</si>
  <si>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</si>
  <si>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</si>
  <si>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</si>
  <si>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</si>
  <si>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</si>
  <si>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</si>
  <si>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</si>
  <si>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</si>
  <si>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</si>
  <si>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</si>
  <si>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</si>
  <si>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</si>
  <si>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</si>
  <si>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</si>
  <si>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</si>
  <si>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</si>
  <si>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</si>
  <si>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</si>
  <si>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</si>
  <si>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</si>
  <si>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</si>
  <si>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</si>
  <si>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</si>
  <si>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</si>
  <si>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</si>
  <si>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</si>
  <si>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</si>
  <si>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</si>
  <si>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</si>
  <si>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</si>
  <si>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</si>
  <si>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</si>
  <si>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</si>
  <si>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</si>
  <si>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</si>
  <si>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</si>
  <si>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</si>
  <si>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</si>
  <si>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</si>
  <si>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</si>
  <si>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</si>
  <si>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</si>
  <si>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</si>
  <si>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</si>
  <si>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</si>
  <si>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</si>
  <si>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</si>
  <si>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</si>
  <si>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</si>
  <si>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</si>
  <si>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</si>
  <si>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</si>
  <si>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</si>
  <si>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</si>
  <si>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</si>
  <si>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</si>
  <si>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</si>
  <si>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</si>
  <si>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</si>
  <si>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</si>
  <si>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</si>
  <si>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</si>
  <si>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Typenbezeichnung des Türblattes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</si>
  <si>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</si>
  <si>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</si>
  <si>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</si>
  <si>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</si>
  <si>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</si>
  <si>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</si>
  <si>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</si>
  <si>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</si>
  <si>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</si>
  <si>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</si>
  <si>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</si>
  <si>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</si>
  <si>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</si>
  <si>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</si>
  <si>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</si>
  <si>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</si>
  <si>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</si>
  <si>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</si>
  <si>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</si>
  <si>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</si>
  <si>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</si>
  <si>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</si>
  <si>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</si>
  <si>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</si>
  <si>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</si>
  <si>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</si>
  <si>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</si>
  <si>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</si>
  <si>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</si>
  <si>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</si>
  <si>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</si>
  <si>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</si>
  <si>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</si>
  <si>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</si>
  <si>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</si>
  <si>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</si>
  <si>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</si>
  <si>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</si>
  <si>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</si>
  <si>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</si>
  <si>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</si>
  <si>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</si>
  <si>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</si>
  <si>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</si>
  <si>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</si>
  <si>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</si>
  <si>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</si>
  <si>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</si>
  <si>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</si>
  <si>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</si>
  <si>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</si>
  <si>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</si>
  <si>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</si>
  <si>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</si>
  <si>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</si>
  <si>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</si>
  <si>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</si>
  <si>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</si>
  <si>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</si>
  <si>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</si>
  <si>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</si>
  <si>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</si>
  <si>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</si>
  <si>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</si>
  <si>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</si>
  <si>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</si>
  <si>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</si>
  <si>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</si>
  <si>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</si>
  <si>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</si>
  <si>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</si>
  <si>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</si>
  <si>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</si>
  <si>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</si>
  <si>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</si>
  <si>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</si>
  <si>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</si>
  <si>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</si>
  <si>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</si>
  <si>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</si>
  <si>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</si>
  <si>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</si>
  <si>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</si>
  <si>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</si>
  <si>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</si>
  <si>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</si>
  <si>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</si>
  <si>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</si>
  <si>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</si>
  <si>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</si>
  <si>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</si>
  <si>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</si>
  <si>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</si>
  <si>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</si>
  <si>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</si>
  <si>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</si>
  <si>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</si>
  <si>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</si>
  <si>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</si>
  <si>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</si>
  <si>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</si>
  <si>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</si>
  <si>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</si>
  <si>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</si>
  <si>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</si>
  <si>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</si>
  <si>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</si>
  <si>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</si>
  <si>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</si>
  <si>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</si>
  <si>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</si>
  <si>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</si>
  <si>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</si>
  <si>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</si>
  <si>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</si>
  <si>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</si>
  <si>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</si>
  <si>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</si>
  <si>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</si>
  <si>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</si>
  <si>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</si>
  <si>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</si>
  <si>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</si>
  <si>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</si>
  <si>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</si>
  <si>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</si>
  <si>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</si>
  <si>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</si>
  <si>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</si>
  <si>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</si>
  <si>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</si>
  <si>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</si>
  <si>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</si>
  <si>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</si>
  <si>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</si>
  <si>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</si>
  <si>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</si>
  <si>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</si>
  <si>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</si>
  <si>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</si>
  <si>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</si>
  <si>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</si>
  <si>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</si>
  <si>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</si>
  <si>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</si>
  <si>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</si>
  <si>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</si>
  <si>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</si>
  <si>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</si>
  <si>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</si>
  <si>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</si>
  <si>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</si>
  <si>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</si>
  <si>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</si>
  <si>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</si>
  <si>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</si>
  <si>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</si>
  <si>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</si>
  <si>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</si>
  <si>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</si>
  <si>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</si>
  <si>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</si>
  <si>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</si>
  <si>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</si>
  <si>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</si>
  <si>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</si>
  <si>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</si>
  <si>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</si>
  <si>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</si>
  <si>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</si>
  <si>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</si>
  <si>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</si>
  <si>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</si>
  <si>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</si>
  <si>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</si>
  <si>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</si>
  <si>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</si>
  <si>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</si>
  <si>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</si>
  <si>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</si>
  <si>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</si>
  <si>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</si>
  <si>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</si>
  <si>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</si>
  <si>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</si>
  <si>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</si>
  <si>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</si>
  <si>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</si>
  <si>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</si>
  <si>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</si>
  <si>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</si>
  <si>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</si>
  <si>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</si>
  <si>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</si>
  <si>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</si>
  <si>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</si>
  <si>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</si>
  <si>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</si>
  <si>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</si>
  <si>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</si>
  <si>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</si>
  <si>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</si>
  <si>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</si>
  <si>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</si>
  <si>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</si>
  <si>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</si>
  <si>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</si>
  <si>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</si>
  <si>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</si>
  <si>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</si>
  <si>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</si>
  <si>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</si>
  <si>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</si>
  <si>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</si>
  <si>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</si>
  <si>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</si>
  <si>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</si>
  <si>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</si>
  <si>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</si>
  <si>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</si>
  <si>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</si>
  <si>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</si>
  <si>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</si>
  <si>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</si>
  <si>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</si>
  <si>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</si>
  <si>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</si>
  <si>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</si>
  <si>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</si>
  <si>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</si>
  <si>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</si>
  <si>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</si>
  <si>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</si>
  <si>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</si>
  <si>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</si>
  <si>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</si>
  <si>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</si>
  <si>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</si>
  <si>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</si>
  <si>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</si>
  <si>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</si>
  <si>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</si>
  <si>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</si>
  <si>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</si>
  <si>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</si>
  <si>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</si>
  <si>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</si>
  <si>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</si>
  <si>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</si>
  <si>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</si>
  <si>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</si>
  <si>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</si>
  <si>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</si>
  <si>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</si>
  <si>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</si>
  <si>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</si>
  <si>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</si>
  <si>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</si>
  <si>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</si>
  <si>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</si>
  <si>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</si>
  <si>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</si>
  <si>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</si>
  <si>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</si>
  <si>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</si>
  <si>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</si>
  <si>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</si>
  <si>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</si>
  <si>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</si>
  <si>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</si>
  <si>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</si>
  <si>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</si>
  <si>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</si>
  <si>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</si>
  <si>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</si>
  <si>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</si>
  <si>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</si>
  <si>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</si>
  <si>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</si>
  <si>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</si>
  <si>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</si>
  <si>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</si>
  <si>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</si>
  <si>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</si>
  <si>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</si>
  <si>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</si>
  <si>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</si>
  <si>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</si>
  <si>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</si>
  <si>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</si>
  <si>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</si>
  <si>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</si>
  <si>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</si>
  <si>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</si>
  <si>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</si>
  <si>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</si>
  <si>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</si>
  <si>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</si>
  <si>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</si>
  <si>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</si>
  <si>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</si>
  <si>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</si>
  <si>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</si>
  <si>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</si>
  <si>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</si>
  <si>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</si>
  <si>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</si>
  <si>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</si>
  <si>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</si>
  <si>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</si>
  <si>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</si>
  <si>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</si>
  <si>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</si>
  <si>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</si>
  <si>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</si>
  <si>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</si>
  <si>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</si>
  <si>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</si>
  <si>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</si>
  <si>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</si>
  <si>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</si>
  <si>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</si>
  <si>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</si>
  <si>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</si>
  <si>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</si>
  <si>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</si>
  <si>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</si>
  <si>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</si>
  <si>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</si>
  <si>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</si>
  <si>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</si>
  <si>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</si>
  <si>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</si>
  <si>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</si>
  <si>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</si>
  <si>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</si>
  <si>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</si>
  <si>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</si>
  <si>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</si>
  <si>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</si>
  <si>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</si>
  <si>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</si>
  <si>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</si>
  <si>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</si>
  <si>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</si>
  <si>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</si>
  <si>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</si>
  <si>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</si>
  <si>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</si>
  <si>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</si>
  <si>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</si>
  <si>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</si>
  <si>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</si>
  <si>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</si>
  <si>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</si>
  <si>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</si>
  <si>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</si>
  <si>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</si>
  <si>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</si>
  <si>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</si>
  <si>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</si>
  <si>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</si>
  <si>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</si>
  <si>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</si>
  <si>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</si>
  <si>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</si>
  <si>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</si>
  <si>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</si>
  <si>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</si>
  <si>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</si>
  <si>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</si>
  <si>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</si>
  <si>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</si>
  <si>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</si>
  <si>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</si>
  <si>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</si>
  <si>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</si>
  <si>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</si>
  <si>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</si>
  <si>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</si>
  <si>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</si>
  <si>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</si>
  <si>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</si>
  <si>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</si>
  <si>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</si>
  <si>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</si>
  <si>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</si>
  <si>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</si>
  <si>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</si>
  <si>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</si>
  <si>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</si>
  <si>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</si>
  <si>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</si>
  <si>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</si>
  <si>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</si>
  <si>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</si>
  <si>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</si>
  <si>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</si>
  <si>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</si>
  <si>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</si>
  <si>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</si>
  <si>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</si>
  <si>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</si>
  <si>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</si>
  <si>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</si>
  <si>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</si>
  <si>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</si>
  <si>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</si>
  <si>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</si>
  <si>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</si>
  <si>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</si>
  <si>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</si>
  <si>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</si>
  <si>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</si>
  <si>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</si>
  <si>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</si>
  <si>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</si>
  <si>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</si>
  <si>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</si>
  <si>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</si>
  <si>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</si>
  <si>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</si>
  <si>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dka_penC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</si>
  <si>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</si>
  <si>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</si>
  <si>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</si>
  <si>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</si>
  <si>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</si>
  <si>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</si>
  <si>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</si>
  <si>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</si>
  <si>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</si>
  <si>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</si>
  <si>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</si>
  <si>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</si>
  <si>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</si>
  <si>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</si>
  <si>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</si>
  <si>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</si>
  <si>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</si>
  <si>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</si>
  <si>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</si>
  <si>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</si>
  <si>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</si>
  <si>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</si>
  <si>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</si>
  <si>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</si>
  <si>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</si>
  <si>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</si>
  <si>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</si>
  <si>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</si>
  <si>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</si>
  <si>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</si>
  <si>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</si>
  <si>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</si>
  <si>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</si>
  <si>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</si>
  <si>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</si>
  <si>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</si>
  <si>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</si>
  <si>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</si>
  <si>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</si>
  <si>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</si>
  <si>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</si>
  <si>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</si>
  <si>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</si>
  <si>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</si>
  <si>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</si>
  <si>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</si>
  <si>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</si>
  <si>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</si>
  <si>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</si>
  <si>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</si>
  <si>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</si>
  <si>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</si>
  <si>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</si>
  <si>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</si>
  <si>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</si>
  <si>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</si>
  <si>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</si>
  <si>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</si>
  <si>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</si>
  <si>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</si>
  <si>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</si>
  <si>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</si>
  <si>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</si>
  <si>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</si>
  <si>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</si>
  <si>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</si>
  <si>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</si>
  <si>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</si>
  <si>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</si>
  <si>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</si>
  <si>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</si>
  <si>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</si>
  <si>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</si>
  <si>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</si>
  <si>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</si>
  <si>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</si>
  <si>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</si>
  <si>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</si>
  <si>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</si>
  <si>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</si>
  <si>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</si>
  <si>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</si>
  <si>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</si>
  <si>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</si>
  <si>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</si>
  <si>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</si>
  <si>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</si>
  <si>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</si>
  <si>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</si>
  <si>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</si>
  <si>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</si>
  <si>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</si>
  <si>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</si>
  <si>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</si>
  <si>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</si>
  <si>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</si>
  <si>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</si>
  <si>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</si>
  <si>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</si>
  <si>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</si>
  <si>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</si>
  <si>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</si>
  <si>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</si>
  <si>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</si>
  <si>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</si>
  <si>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</si>
  <si>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</si>
  <si>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</si>
  <si>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</si>
  <si>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</si>
  <si>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</si>
  <si>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</si>
  <si>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</si>
  <si>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</si>
  <si>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</si>
  <si>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</si>
  <si>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</si>
  <si>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</si>
  <si>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</si>
  <si>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</si>
  <si>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</si>
  <si>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</si>
  <si>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</si>
  <si>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</si>
  <si>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</si>
  <si>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</si>
  <si>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</si>
  <si>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</si>
  <si>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</si>
  <si>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</si>
  <si>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</si>
  <si>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</si>
  <si>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</si>
  <si>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</si>
  <si>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</si>
  <si>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</si>
  <si>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</si>
  <si>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</si>
  <si>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</si>
  <si>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</si>
  <si>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</si>
  <si>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</si>
  <si>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</si>
  <si>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</si>
  <si>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</si>
  <si>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</si>
  <si>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</si>
  <si>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</si>
  <si>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</si>
  <si>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</si>
  <si>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</si>
  <si>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</si>
  <si>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</si>
  <si>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</si>
  <si>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</si>
  <si>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</si>
  <si>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</si>
  <si>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</si>
  <si>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</si>
  <si>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</si>
  <si>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</si>
  <si>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</si>
  <si>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</si>
  <si>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</si>
  <si>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</si>
  <si>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</si>
  <si>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</si>
  <si>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</si>
  <si>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</si>
  <si>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</si>
  <si>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</si>
  <si>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</si>
  <si>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</si>
  <si>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</si>
  <si>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</si>
  <si>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</si>
  <si>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</si>
  <si>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</si>
  <si>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</si>
  <si>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</si>
  <si>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</si>
  <si>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</si>
  <si>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</si>
  <si>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</si>
  <si>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</si>
  <si>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</si>
  <si>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</si>
  <si>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</si>
  <si>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</si>
  <si>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</si>
  <si>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</si>
  <si>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</si>
  <si>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</si>
  <si>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</si>
  <si>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</si>
  <si>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</si>
  <si>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dka_mat</t>
  </si>
  <si>
    <t>Stahl</t>
  </si>
  <si>
    <t>Verdecktes Band</t>
  </si>
  <si>
    <t>Fitschenband</t>
  </si>
  <si>
    <t>Objektband zweiteilig</t>
  </si>
  <si>
    <t>Objektband dreiteilig</t>
  </si>
  <si>
    <t>V</t>
  </si>
  <si>
    <t>F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</si>
  <si>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</si>
  <si>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</si>
  <si>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</si>
  <si>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</si>
  <si>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</si>
  <si>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</si>
  <si>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</si>
  <si>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</si>
  <si>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</si>
  <si>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</si>
  <si>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</si>
  <si>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</si>
  <si>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</si>
  <si>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</si>
  <si>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</si>
  <si>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</si>
  <si>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</si>
  <si>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</si>
  <si>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</si>
  <si>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</si>
  <si>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</si>
  <si>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</si>
  <si>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Einbohrband dreiteilig</t>
  </si>
  <si>
    <t>O2</t>
  </si>
  <si>
    <t>O3</t>
  </si>
  <si>
    <t>E2</t>
  </si>
  <si>
    <t>E3</t>
  </si>
  <si>
    <t>Paumelle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</si>
  <si>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</si>
  <si>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</si>
  <si>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</si>
  <si>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</si>
  <si>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</si>
  <si>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</si>
  <si>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</si>
  <si>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</si>
  <si>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</si>
  <si>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</si>
  <si>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</si>
  <si>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</si>
  <si>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Einbohrband zweiteilig</t>
  </si>
  <si>
    <t>KO2</t>
  </si>
  <si>
    <t>KO3</t>
  </si>
  <si>
    <t>KO Band zweiteilig</t>
  </si>
  <si>
    <t>KO Band dreiteilig</t>
  </si>
  <si>
    <t>Universalband zweiteilig</t>
  </si>
  <si>
    <t>Universalband dreiteilig</t>
  </si>
  <si>
    <t>U2</t>
  </si>
  <si>
    <t>U3</t>
  </si>
  <si>
    <t>Konstruktionsband zweiteilig</t>
  </si>
  <si>
    <t>Konstruktionsband dreiteilig</t>
  </si>
  <si>
    <t>K2</t>
  </si>
  <si>
    <t>K3</t>
  </si>
  <si>
    <t>eingebohrt</t>
  </si>
  <si>
    <t>aufgeschraubt</t>
  </si>
  <si>
    <t>eingestemmt</t>
  </si>
  <si>
    <t>angeschweißt</t>
  </si>
  <si>
    <t>Bandaufnahme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</si>
  <si>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</si>
  <si>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</si>
  <si>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</si>
  <si>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</si>
  <si>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</si>
  <si>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</si>
  <si>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</si>
  <si>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</si>
  <si>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</si>
  <si>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</si>
  <si>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</si>
  <si>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</si>
  <si>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</si>
  <si>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</si>
  <si>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</si>
  <si>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</si>
  <si>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</si>
  <si>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</si>
  <si>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</si>
  <si>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</si>
  <si>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</si>
  <si>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</si>
  <si>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</si>
  <si>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</si>
  <si>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</si>
  <si>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</si>
  <si>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</si>
  <si>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</si>
  <si>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</si>
  <si>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</si>
  <si>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98 XEA EN 1-6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</si>
  <si>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</si>
  <si>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</si>
  <si>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</si>
  <si>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</si>
  <si>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</si>
  <si>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</si>
  <si>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</si>
  <si>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</si>
  <si>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</si>
  <si>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</si>
  <si>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</si>
  <si>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</si>
  <si>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</si>
  <si>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</si>
  <si>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</si>
  <si>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</si>
  <si>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</si>
  <si>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</si>
  <si>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</si>
  <si>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Aufgesetztes Band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</si>
  <si>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</si>
  <si>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</si>
  <si>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</si>
  <si>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</si>
  <si>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</si>
  <si>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</si>
  <si>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</si>
  <si>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</si>
  <si>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</si>
  <si>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</si>
  <si>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</si>
  <si>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uiTXT</t>
  </si>
  <si>
    <t>BÄNDER</t>
  </si>
  <si>
    <t>HINGE</t>
  </si>
  <si>
    <t>Englisch</t>
  </si>
  <si>
    <t>context</t>
  </si>
  <si>
    <t>Steel</t>
  </si>
  <si>
    <t>Holz</t>
  </si>
  <si>
    <t>Wood</t>
  </si>
  <si>
    <t>Kunststoff</t>
  </si>
  <si>
    <t>Plastic</t>
  </si>
  <si>
    <t>D:\e+f\Projekte\GDL\Develop\Dorma\BIM-all-doors\develop\04 BAD hinge dormakaba\source.DORMAKABA_BTS_hinge_macro\list of multilingual text.xlsx_x000D_
D:\e+f\Projekte\GDL\Develop\Dorma\BIM-all-doors\develop\04 BAD hinge dormakaba\source.DORMAKABA_BTS_hinge_macro\list of multilingual tooltip.xlsx</t>
  </si>
  <si>
    <t>babel</t>
  </si>
  <si>
    <t>Hersteller:</t>
  </si>
  <si>
    <t>Material/Oberfläche:</t>
  </si>
  <si>
    <t>Produkt:</t>
  </si>
  <si>
    <t>Bandtyp:</t>
  </si>
  <si>
    <t>Drehpunkt/ Bandachse:</t>
  </si>
  <si>
    <t>3D/Rendering:</t>
  </si>
  <si>
    <t>Durchmesser (3):</t>
  </si>
  <si>
    <t>Versatz X (1):</t>
  </si>
  <si>
    <t>Abstand Y (2):</t>
  </si>
  <si>
    <t>Notwendige Bandserie bei Verwendung des dormakaba Bodentürschließers.</t>
  </si>
  <si>
    <t>bubble</t>
  </si>
  <si>
    <t>Bezug- und Drehachsen</t>
  </si>
  <si>
    <t>Oberflächenmaterial</t>
  </si>
  <si>
    <t>BTS Zubehör - Türbänder (PDF)</t>
  </si>
  <si>
    <t>BTS</t>
  </si>
  <si>
    <t>Manufacturer:</t>
  </si>
  <si>
    <t>Material/Finish:</t>
  </si>
  <si>
    <t>Product:</t>
  </si>
  <si>
    <t>Diameter (3):</t>
  </si>
  <si>
    <t>Door leaf</t>
  </si>
  <si>
    <t>Frame</t>
  </si>
  <si>
    <t>D:\Daten (sync)\github\bim-all-doors\Source\Module\04 BAD hinge dormakaba\source.DORMAKABA_BTS_hinge_macro</t>
  </si>
  <si>
    <t>prepare for open source</t>
  </si>
  <si>
    <t>1.90</t>
  </si>
  <si>
    <t>bim-all-doors.DORMAKABA.hinge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</si>
</sst>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3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0" fillId="11" borderId="0" xfId="0" applyFont="1" applyFill="1"/>
    <xf numFmtId="0" fontId="2" fillId="11" borderId="0" xfId="0" applyFont="1" applyFill="1" applyAlignment="1">
      <alignment horizontal="center" vertical="center"/>
    </xf>
    <xf numFmtId="0" fontId="40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7" fillId="11" borderId="0" xfId="0" applyFont="1" applyFill="1" applyAlignment="1">
      <alignment vertical="center"/>
    </xf>
    <xf numFmtId="0" fontId="61" fillId="8" borderId="0" xfId="0" applyFont="1" applyFill="1"/>
    <xf numFmtId="0" fontId="37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6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1"/>
  <sheetViews>
    <sheetView tabSelected="1" zoomScaleNormal="100" workbookViewId="0">
      <selection activeCell="B3" sqref="B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9" t="s">
        <v>1407</v>
      </c>
      <c r="C1" s="249"/>
      <c r="D1" s="4"/>
    </row>
    <row r="2" spans="1:8" ht="1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35.25" customHeight="1" x14ac:dyDescent="0.3">
      <c r="A3" s="1" t="s">
        <v>159</v>
      </c>
      <c r="B3" s="109" t="s">
        <v>1404</v>
      </c>
      <c r="C3" s="109"/>
      <c r="D3" s="109"/>
      <c r="E3" s="6"/>
      <c r="F3" s="6"/>
      <c r="G3" s="6"/>
      <c r="H3" s="6"/>
    </row>
    <row r="4" spans="1:8" ht="35.25" customHeight="1" x14ac:dyDescent="0.3">
      <c r="A4" s="1" t="s">
        <v>1</v>
      </c>
      <c r="B4" s="250" t="s">
        <v>1405</v>
      </c>
      <c r="C4" s="250"/>
      <c r="D4" s="4"/>
    </row>
    <row r="5" spans="1:8" ht="35.25" customHeight="1" x14ac:dyDescent="0.3">
      <c r="A5" s="1" t="s">
        <v>97</v>
      </c>
      <c r="B5" s="251" t="s">
        <v>1406</v>
      </c>
      <c r="C5" s="251"/>
      <c r="D5" s="4"/>
    </row>
    <row r="6" spans="1:8" ht="35.25" customHeight="1" x14ac:dyDescent="0.3">
      <c r="A6" s="1" t="s">
        <v>2</v>
      </c>
      <c r="B6" s="252">
        <v>45912</v>
      </c>
      <c r="C6" s="252"/>
      <c r="D6" s="4"/>
    </row>
    <row r="7" spans="1:8" ht="35.25" customHeight="1" x14ac:dyDescent="0.3">
      <c r="A7" s="1" t="s">
        <v>3</v>
      </c>
      <c r="B7" s="250">
        <v>28</v>
      </c>
      <c r="C7" s="250"/>
      <c r="D7" s="55"/>
    </row>
    <row r="8" spans="1:8" ht="35.25" customHeight="1" x14ac:dyDescent="0.3">
      <c r="A8" s="1" t="s">
        <v>4</v>
      </c>
      <c r="B8" s="250" t="str">
        <f>"max. "&amp;TEXT(ROWS(PARAMETERS!$A$2:$A$467),"0")&amp;" / "&amp;TEXT(ROWS(PARAMETERLISTE),"0")&amp;" (input/output GDL)"</f>
        <v>max. 466 / 466 (input/output GDL)</v>
      </c>
      <c r="C8" s="250"/>
      <c r="D8" s="4" t="s">
        <v>5</v>
      </c>
    </row>
    <row r="9" spans="1:8" ht="35.25" customHeight="1" x14ac:dyDescent="0.3">
      <c r="A9" s="1"/>
      <c r="B9" s="250" t="str">
        <f>TEXT(COUNTIF(PARAMETERS!$A$2:$A$467,"G"),"0")&amp;" (GDL) /  "&amp;TEXT(COUNTIF(PARAMETERS!$A$2:$A$467,"P"),"0")&amp;" (Properties)"</f>
        <v>399 (GDL) /  0 (Properties)</v>
      </c>
      <c r="C9" s="250"/>
      <c r="D9" s="4"/>
    </row>
    <row r="10" spans="1:8" ht="35.25" customHeight="1" x14ac:dyDescent="0.3">
      <c r="A10" s="1" t="s">
        <v>7</v>
      </c>
      <c r="B10" s="250" t="str">
        <f>"for max. "&amp;TEXT(ROWS(VALUESLIST),"0")&amp;" parameters"</f>
        <v>for max. 92 parameters</v>
      </c>
      <c r="C10" s="250"/>
      <c r="D10" s="4" t="s">
        <v>6</v>
      </c>
    </row>
    <row r="11" spans="1:8" ht="35.25" customHeight="1" x14ac:dyDescent="0.3">
      <c r="A11" s="1" t="s">
        <v>8</v>
      </c>
      <c r="B11" s="250" t="str">
        <f>"max. "&amp;TEXT(ROWS(VALUESval),"0")&amp;" items for value list (per parameter)"</f>
        <v>max. 91 items for value list (per parameter)</v>
      </c>
      <c r="C11" s="250"/>
      <c r="D11" s="4" t="s">
        <v>5</v>
      </c>
    </row>
    <row r="12" spans="1:8" ht="36" customHeight="1" x14ac:dyDescent="0.3">
      <c r="A12" s="1"/>
    </row>
    <row r="13" spans="1:8" ht="24" customHeight="1" x14ac:dyDescent="0.3">
      <c r="A13" s="1"/>
      <c r="B13" s="245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1360</v>
      </c>
      <c r="B14" s="14" t="s">
        <v>1361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1362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1363</v>
      </c>
      <c r="C16" s="14"/>
      <c r="F16" s="246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1364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1365</v>
      </c>
      <c r="B22" s="14" t="s">
        <v>1366</v>
      </c>
      <c r="C22" s="14"/>
      <c r="F22" s="95" t="s">
        <v>167</v>
      </c>
    </row>
    <row r="23" spans="1:6" ht="24" customHeight="1" x14ac:dyDescent="0.25">
      <c r="A23" s="7"/>
      <c r="B23" s="14" t="s">
        <v>1367</v>
      </c>
      <c r="C23" s="14"/>
      <c r="D23" s="5" t="s">
        <v>122</v>
      </c>
      <c r="F23" s="247" t="s">
        <v>1381</v>
      </c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1368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" customHeight="1" x14ac:dyDescent="0.25">
      <c r="A28" s="7" t="s">
        <v>1369</v>
      </c>
      <c r="B28" s="17" t="s">
        <v>1370</v>
      </c>
      <c r="C28" s="14"/>
      <c r="D28" s="5" t="s">
        <v>122</v>
      </c>
      <c r="F28" s="95" t="s">
        <v>184</v>
      </c>
    </row>
    <row r="29" spans="1:6" ht="24" customHeight="1" x14ac:dyDescent="0.25"/>
    <row r="30" spans="1:6" ht="24" customHeight="1" x14ac:dyDescent="0.25"/>
    <row r="31" spans="1:6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4" name="ExportParameterListButton"/>
      </mc:Fallback>
    </mc:AlternateContent>
    <mc:AlternateContent xmlns:mc="http://schemas.openxmlformats.org/markup-compatibility/2006">
      <mc:Choice Requires="x14">
        <control shapeId="11285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6" name="ExportValuesCommandsButton"/>
      </mc:Fallback>
    </mc:AlternateContent>
    <mc:AlternateContent xmlns:mc="http://schemas.openxmlformats.org/markup-compatibility/2006">
      <mc:Choice Requires="x14">
        <control shapeId="11286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8" name="ExportValueListsForUserInterface"/>
      </mc:Fallback>
    </mc:AlternateContent>
    <mc:AlternateContent xmlns:mc="http://schemas.openxmlformats.org/markup-compatibility/2006">
      <mc:Choice Requires="x14">
        <control shapeId="11287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0" name="ExportArchicadPropertiesButton"/>
      </mc:Fallback>
    </mc:AlternateContent>
    <mc:AlternateContent xmlns:mc="http://schemas.openxmlformats.org/markup-compatibility/2006">
      <mc:Choice Requires="x14">
        <control shapeId="11288" r:id="rId12" name="ExportArrayIndicesButton">
          <controlPr defaultSize="0" autoLine="0" r:id="rId1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2" name="ExportArrayIndicesButton"/>
      </mc:Fallback>
    </mc:AlternateContent>
    <mc:AlternateContent xmlns:mc="http://schemas.openxmlformats.org/markup-compatibility/2006">
      <mc:Choice Requires="x14">
        <control shapeId="11289" r:id="rId14" name="ExportMultilingualTextButton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4" name="ExportMultilingualTextButton"/>
      </mc:Fallback>
    </mc:AlternateContent>
    <mc:AlternateContent xmlns:mc="http://schemas.openxmlformats.org/markup-compatibility/2006">
      <mc:Choice Requires="x14">
        <control shapeId="11290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6" name="ImportVariableTextButton"/>
      </mc:Fallback>
    </mc:AlternateContent>
    <mc:AlternateContent xmlns:mc="http://schemas.openxmlformats.org/markup-compatibility/2006">
      <mc:Choice Requires="x14">
        <control shapeId="11291" r:id="rId18" name="ParseUserInterfaceButton">
          <controlPr print="0" autoLine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18" name="ParseUserInterfaceButton"/>
      </mc:Fallback>
    </mc:AlternateContent>
    <mc:AlternateContent xmlns:mc="http://schemas.openxmlformats.org/markup-compatibility/2006">
      <mc:Choice Requires="x14">
        <control shapeId="11292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20" name="IntegrateBitmapsButton"/>
      </mc:Fallback>
    </mc:AlternateContent>
    <mc:AlternateContent xmlns:mc="http://schemas.openxmlformats.org/markup-compatibility/2006">
      <mc:Choice Requires="x14">
        <control shapeId="11293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73"/>
  <sheetViews>
    <sheetView zoomScaleNormal="100" workbookViewId="0">
      <pane ySplit="2148" activePane="bottomLeft"/>
      <selection activeCell="G1" sqref="G1:J1048576"/>
      <selection pane="bottomLeft" activeCell="A443" sqref="A443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IF($AA3="","",IF($B3="I",VLOOKUP($AA3,#REF!,53,0),INDEX(VALUES!$B$1:$BQ$1,1,$AA3)))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IF($AA4="","",IF($B4="I",VLOOKUP($AA4,#REF!,53,0),INDEX(VALUES!$B$1:$BQ$1,1,$AA4)))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IF($AA5="","",IF($B5="I",VLOOKUP($AA5,#REF!,53,0),INDEX(VALUES!$B$1:$BQ$1,1,$AA5)))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IF($AA6="","",IF($B6="I",VLOOKUP($AA6,#REF!,53,0),INDEX(VALUES!$B$1:$BQ$1,1,$AA6)))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IF($AA7="","",IF($B7="I",VLOOKUP($AA7,#REF!,53,0),INDEX(VALUES!$B$1:$BQ$1,1,$AA7)))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IF($AA8="","",IF($B8="I",VLOOKUP($AA8,#REF!,53,0),INDEX(VALUES!$B$1:$BQ$1,1,$AA8)))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IF($AA9="","",IF($B9="I",VLOOKUP($AA9,#REF!,53,0),INDEX(VALUES!$B$1:$BQ$1,1,$AA9)))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IF($AA10="","",IF($B10="I",VLOOKUP($AA10,#REF!,53,0),INDEX(VALUES!$B$1:$BQ$1,1,$AA10)))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IF($AA11="","",IF($B11="I",VLOOKUP($AA11,#REF!,53,0),INDEX(VALUES!$B$1:$BQ$1,1,$AA11)))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IF($AA12="","",IF($B12="I",VLOOKUP($AA12,#REF!,53,0),INDEX(VALUES!$B$1:$BQ$1,1,$AA12)))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IF($AA13="","",IF($B13="I",VLOOKUP($AA13,#REF!,53,0),INDEX(VALUES!$B$1:$BQ$1,1,$AA13)))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IF($AA14="","",IF($B14="I",VLOOKUP($AA14,#REF!,53,0),INDEX(VALUES!$B$1:$BQ$1,1,$AA14)))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IF($AA15="","",IF($B15="I",VLOOKUP($AA15,#REF!,53,0),INDEX(VALUES!$B$1:$BQ$1,1,$AA15)))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IF($AA16="","",IF($B16="I",VLOOKUP($AA16,#REF!,53,0),INDEX(VALUES!$B$1:$BQ$1,1,$AA16)))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IF($AA17="","",IF($B17="I",VLOOKUP($AA17,#REF!,53,0),INDEX(VALUES!$B$1:$BQ$1,1,$AA17)))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IF($AA18="","",IF($B18="I",VLOOKUP($AA18,#REF!,53,0),INDEX(VALUES!$B$1:$BQ$1,1,$AA18)))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IF($AA19="","",IF($B19="I",VLOOKUP($AA19,#REF!,53,0),INDEX(VALUES!$B$1:$BQ$1,1,$AA19)))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IF($AA20="","",IF($B20="I",VLOOKUP($AA20,#REF!,53,0),INDEX(VALUES!$B$1:$BQ$1,1,$AA20)))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IF($AA21="","",IF($B21="I",VLOOKUP($AA21,#REF!,53,0),INDEX(VALUES!$B$1:$BQ$1,1,$AA21)))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IF($AA22="","",IF($B22="I",VLOOKUP($AA22,#REF!,53,0),INDEX(VALUES!$B$1:$BQ$1,1,$AA22)))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IF($AA23="","",IF($B23="I",VLOOKUP($AA23,#REF!,53,0),INDEX(VALUES!$B$1:$BQ$1,1,$AA23)))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IF($AA24="","",IF($B24="I",VLOOKUP($AA24,#REF!,53,0),INDEX(VALUES!$B$1:$BQ$1,1,$AA24)))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IF($AA25="","",IF($B25="I",VLOOKUP($AA25,#REF!,53,0),INDEX(VALUES!$B$1:$BQ$1,1,$AA25)))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IF($AA26="","",IF($B26="I",VLOOKUP($AA26,#REF!,53,0),INDEX(VALUES!$B$1:$BQ$1,1,$AA26)))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IF($AA27="","",IF($B27="I",VLOOKUP($AA27,#REF!,53,0),INDEX(VALUES!$B$1:$BQ$1,1,$AA27)))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IF($AA28="","",IF($B28="I",VLOOKUP($AA28,#REF!,53,0),INDEX(VALUES!$B$1:$BQ$1,1,$AA28)))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IF($AA29="","",IF($B29="I",VLOOKUP($AA29,#REF!,53,0),INDEX(VALUES!$B$1:$BQ$1,1,$AA29)))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IF($AA30="","",IF($B30="I",VLOOKUP($AA30,#REF!,53,0),INDEX(VALUES!$B$1:$BQ$1,1,$AA30)))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IF($AA31="","",IF($B31="I",VLOOKUP($AA31,#REF!,53,0),INDEX(VALUES!$B$1:$BQ$1,1,$AA31)))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IF($AA32="","",IF($B32="I",VLOOKUP($AA32,#REF!,53,0),INDEX(VALUES!$B$1:$BQ$1,1,$AA32)))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IF($AA33="","",IF($B33="I",VLOOKUP($AA33,#REF!,53,0),INDEX(VALUES!$B$1:$BQ$1,1,$AA33)))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740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IF($AA34="","",IF($B34="I",VLOOKUP($AA34,#REF!,53,0),INDEX(VALUES!$B$1:$BQ$1,1,$AA34)))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IF($AA35="","",IF($B35="I",VLOOKUP($AA35,#REF!,53,0),INDEX(VALUES!$B$1:$BQ$1,1,$AA35)))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IF($AA36="","",IF($B36="I",VLOOKUP($AA36,#REF!,53,0),INDEX(VALUES!$B$1:$BQ$1,1,$AA36)))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IF($AA37="","",IF($B37="I",VLOOKUP($AA37,#REF!,53,0),INDEX(VALUES!$B$1:$BQ$1,1,$AA37)))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IF($AA38="","",IF($B38="I",VLOOKUP($AA38,#REF!,53,0),INDEX(VALUES!$B$1:$BQ$1,1,$AA38)))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IF($AA39="","",IF($B39="I",VLOOKUP($AA39,#REF!,53,0),INDEX(VALUES!$B$1:$BQ$1,1,$AA39)))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IF($AA40="","",IF($B40="I",VLOOKUP($AA40,#REF!,53,0),INDEX(VALUES!$B$1:$BQ$1,1,$AA40)))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IF($AA41="","",IF($B41="I",VLOOKUP($AA41,#REF!,53,0),INDEX(VALUES!$B$1:$BQ$1,1,$AA41)))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IF($AA42="","",IF($B42="I",VLOOKUP($AA42,#REF!,53,0),INDEX(VALUES!$B$1:$BQ$1,1,$AA42)))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IF($AA43="","",IF($B43="I",VLOOKUP($AA43,#REF!,53,0),INDEX(VALUES!$B$1:$BQ$1,1,$AA43)))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IF($AA44="","",IF($B44="I",VLOOKUP($AA44,#REF!,53,0),INDEX(VALUES!$B$1:$BQ$1,1,$AA44)))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IF($AA45="","",IF($B45="I",VLOOKUP($AA45,#REF!,53,0),INDEX(VALUES!$B$1:$BQ$1,1,$AA45)))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IF($AA46="","",IF($B46="I",VLOOKUP($AA46,#REF!,53,0),INDEX(VALUES!$B$1:$BQ$1,1,$AA46)))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IF($AA47="","",IF($B47="I",VLOOKUP($AA47,#REF!,53,0),INDEX(VALUES!$B$1:$BQ$1,1,$AA47)))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IF($AA48="","",IF($B48="I",VLOOKUP($AA48,#REF!,53,0),INDEX(VALUES!$B$1:$BQ$1,1,$AA48)))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IF($AA49="","",IF($B49="I",VLOOKUP($AA49,#REF!,53,0),INDEX(VALUES!$B$1:$BQ$1,1,$AA49)))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IF($AA50="","",IF($B50="I",VLOOKUP($AA50,#REF!,53,0),INDEX(VALUES!$B$1:$BQ$1,1,$AA50)))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IF($AA51="","",IF($B51="I",VLOOKUP($AA51,#REF!,53,0),INDEX(VALUES!$B$1:$BQ$1,1,$AA51)))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IF($AA52="","",IF($B52="I",VLOOKUP($AA52,#REF!,53,0),INDEX(VALUES!$B$1:$BQ$1,1,$AA52)))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IF($AA53="","",IF($B53="I",VLOOKUP($AA53,#REF!,53,0),INDEX(VALUES!$B$1:$BQ$1,1,$AA53)))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IF($AA54="","",IF($B54="I",VLOOKUP($AA54,#REF!,53,0),INDEX(VALUES!$B$1:$BQ$1,1,$AA54)))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IF($AA55="","",IF($B55="I",VLOOKUP($AA55,#REF!,53,0),INDEX(VALUES!$B$1:$BQ$1,1,$AA55)))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740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IF($AA56="","",IF($B56="I",VLOOKUP($AA56,#REF!,53,0),INDEX(VALUES!$B$1:$BQ$1,1,$AA56)))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740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IF($AA57="","",IF($B57="I",VLOOKUP($AA57,#REF!,53,0),INDEX(VALUES!$B$1:$BQ$1,1,$AA57)))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740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IF($AA58="","",IF($B58="I",VLOOKUP($AA58,#REF!,53,0),INDEX(VALUES!$B$1:$BQ$1,1,$AA58)))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740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IF($AA59="","",IF($B59="I",VLOOKUP($AA59,#REF!,53,0),INDEX(VALUES!$B$1:$BQ$1,1,$AA59)))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740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IF($AA60="","",IF($B60="I",VLOOKUP($AA60,#REF!,53,0),INDEX(VALUES!$B$1:$BQ$1,1,$AA60)))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740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IF($AA61="","",IF($B61="I",VLOOKUP($AA61,#REF!,53,0),INDEX(VALUES!$B$1:$BQ$1,1,$AA61)))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740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IF($AA62="","",IF($B62="I",VLOOKUP($AA62,#REF!,53,0),INDEX(VALUES!$B$1:$BQ$1,1,$AA62)))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IF($AA63="","",IF($B63="I",VLOOKUP($AA63,#REF!,53,0),INDEX(VALUES!$B$1:$BQ$1,1,$AA63)))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IF($AA64="","",IF($B64="I",VLOOKUP($AA64,#REF!,53,0),INDEX(VALUES!$B$1:$BQ$1,1,$AA64)))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X65" s="165">
        <v>26</v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IF($AA65="","",IF($B65="I",VLOOKUP($AA65,#REF!,53,0),INDEX(VALUES!$B$1:$BQ$1,1,$AA65)))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X66" s="165">
        <v>8</v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IF($AA66="","",IF($B66="I",VLOOKUP($AA66,#REF!,53,0),INDEX(VALUES!$B$1:$BQ$1,1,$AA66)))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IF($AA67="","",IF($B67="I",VLOOKUP($AA67,#REF!,53,0),INDEX(VALUES!$B$1:$BQ$1,1,$AA67)))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IF($AA68="","",IF($B68="I",VLOOKUP($AA68,#REF!,53,0),INDEX(VALUES!$B$1:$BQ$1,1,$AA68)))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X69" s="160">
        <v>27</v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IF($AA69="","",IF($B69="I",VLOOKUP($AA69,#REF!,53,0),INDEX(VALUES!$B$1:$BQ$1,1,$AA69)))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X70" s="185" t="s">
        <v>264</v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IF($AA70="","",IF($B70="I",VLOOKUP($AA70,#REF!,53,0),INDEX(VALUES!$B$1:$BQ$1,1,$AA70)))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X71" s="185" t="s">
        <v>264</v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IF($AA71="","",IF($B71="I",VLOOKUP($AA71,#REF!,53,0),INDEX(VALUES!$B$1:$BQ$1,1,$AA71)))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IF($AA72="","",IF($B72="I",VLOOKUP($AA72,#REF!,53,0),INDEX(VALUES!$B$1:$BQ$1,1,$AA72)))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X73" s="185" t="s">
        <v>264</v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IF($AA73="","",IF($B73="I",VLOOKUP($AA73,#REF!,53,0),INDEX(VALUES!$B$1:$BQ$1,1,$AA73)))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IF($AA74="","",IF($B74="I",VLOOKUP($AA74,#REF!,53,0),INDEX(VALUES!$B$1:$BQ$1,1,$AA74)))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X75" s="194"/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IF($AA75="","",IF($B75="I",VLOOKUP($AA75,#REF!,53,0),INDEX(VALUES!$B$1:$BQ$1,1,$AA75)))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X76" s="194"/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IF($AA76="","",IF($B76="I",VLOOKUP($AA76,#REF!,53,0),INDEX(VALUES!$B$1:$BQ$1,1,$AA76)))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X77" s="185" t="s">
        <v>264</v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IF($AA77="","",IF($B77="I",VLOOKUP($AA77,#REF!,53,0),INDEX(VALUES!$B$1:$BQ$1,1,$AA77)))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X78" s="185" t="s">
        <v>264</v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IF($AA78="","",IF($B78="I",VLOOKUP($AA78,#REF!,53,0),INDEX(VALUES!$B$1:$BQ$1,1,$AA78)))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X79" s="185">
        <v>28</v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IF($AA79="","",IF($B79="I",VLOOKUP($AA79,#REF!,53,0),INDEX(VALUES!$B$1:$BQ$1,1,$AA79)))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IF($AA80="","",IF($B80="I",VLOOKUP($AA80,#REF!,53,0),INDEX(VALUES!$B$1:$BQ$1,1,$AA80)))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X81" s="160" t="s">
        <v>264</v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IF($AA81="","",IF($B81="I",VLOOKUP($AA81,#REF!,53,0),INDEX(VALUES!$B$1:$BQ$1,1,$AA81)))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47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X82" s="160" t="s">
        <v>264</v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IF($AA82="","",IF($B82="I",VLOOKUP($AA82,#REF!,53,0),INDEX(VALUES!$B$1:$BQ$1,1,$AA82)))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IF($AA83="","",IF($B83="I",VLOOKUP($AA83,#REF!,53,0),INDEX(VALUES!$B$1:$BQ$1,1,$AA83)))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IF($AA84="","",IF($B84="I",VLOOKUP($AA84,#REF!,53,0),INDEX(VALUES!$B$1:$BQ$1,1,$AA84)))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459</v>
      </c>
      <c r="N85" s="41" t="s">
        <v>460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IF($AA85="","",IF($B85="I",VLOOKUP($AA85,#REF!,53,0),INDEX(VALUES!$B$1:$BQ$1,1,$AA85)))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461</v>
      </c>
      <c r="N86" s="14" t="s">
        <v>462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Y86" s="14" t="s">
        <v>463</v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IF($AA86="","",IF($B86="I",VLOOKUP($AA86,#REF!,53,0),INDEX(VALUES!$B$1:$BQ$1,1,$AA86)))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464</v>
      </c>
      <c r="N87" s="14" t="s">
        <v>465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466</v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IF($AA87="","",IF($B87="I",VLOOKUP($AA87,#REF!,53,0),INDEX(VALUES!$B$1:$BQ$1,1,$AA87)))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467</v>
      </c>
      <c r="N88" s="14" t="s">
        <v>468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469</v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IF($AA88="","",IF($B88="I",VLOOKUP($AA88,#REF!,53,0),INDEX(VALUES!$B$1:$BQ$1,1,$AA88)))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472</v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IF($AA89="","",IF($B89="I",VLOOKUP($AA89,#REF!,53,0),INDEX(VALUES!$B$1:$BQ$1,1,$AA89)))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473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473</v>
      </c>
      <c r="W90" s="194" t="str">
        <f>IF(IFERROR(VLOOKUP($M90,#REF!,1,0),"-")="-","","GS")</f>
        <v/>
      </c>
      <c r="X90" s="198" t="s">
        <v>264</v>
      </c>
      <c r="Y90" s="196" t="s">
        <v>474</v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IF($AA90="","",IF($B90="I",VLOOKUP($AA90,#REF!,53,0),INDEX(VALUES!$B$1:$BQ$1,1,$AA90)))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475</v>
      </c>
      <c r="N91" s="14" t="s">
        <v>476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IF($AA91="","",IF($B91="I",VLOOKUP($AA91,#REF!,53,0),INDEX(VALUES!$B$1:$BQ$1,1,$AA91)))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477</v>
      </c>
      <c r="N92" s="14" t="s">
        <v>478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IF($AA92="","",IF($B92="I",VLOOKUP($AA92,#REF!,53,0),INDEX(VALUES!$B$1:$BQ$1,1,$AA92)))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479</v>
      </c>
      <c r="N93" s="14" t="s">
        <v>480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IF($AA93="","",IF($B93="I",VLOOKUP($AA93,#REF!,53,0),INDEX(VALUES!$B$1:$BQ$1,1,$AA93)))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481</v>
      </c>
      <c r="N94" s="14" t="s">
        <v>482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IF($AA94="","",IF($B94="I",VLOOKUP($AA94,#REF!,53,0),INDEX(VALUES!$B$1:$BQ$1,1,$AA94)))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483</v>
      </c>
      <c r="N95" s="14" t="s">
        <v>484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IF($AA95="","",IF($B95="I",VLOOKUP($AA95,#REF!,53,0),INDEX(VALUES!$B$1:$BQ$1,1,$AA95)))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485</v>
      </c>
      <c r="N96" s="14" t="s">
        <v>486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IF($AA96="","",IF($B96="I",VLOOKUP($AA96,#REF!,53,0),INDEX(VALUES!$B$1:$BQ$1,1,$AA96)))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487</v>
      </c>
      <c r="N97" s="14" t="s">
        <v>488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IF($AA97="","",IF($B97="I",VLOOKUP($AA97,#REF!,53,0),INDEX(VALUES!$B$1:$BQ$1,1,$AA97)))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489</v>
      </c>
      <c r="N98" s="14" t="s">
        <v>490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IF($AA98="","",IF($B98="I",VLOOKUP($AA98,#REF!,53,0),INDEX(VALUES!$B$1:$BQ$1,1,$AA98)))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491</v>
      </c>
      <c r="N99" s="14" t="s">
        <v>492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493</v>
      </c>
      <c r="W99" s="15" t="str">
        <f>IF(IFERROR(VLOOKUP($M99,#REF!,1,0),"-")="-","","GS")</f>
        <v/>
      </c>
      <c r="X99" s="160">
        <v>21</v>
      </c>
      <c r="Y99" s="166" t="s">
        <v>494</v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IF($AA99="","",IF($B99="I",VLOOKUP($AA99,#REF!,53,0),INDEX(VALUES!$B$1:$BQ$1,1,$AA99)))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495</v>
      </c>
      <c r="N100" s="14" t="s">
        <v>496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497</v>
      </c>
      <c r="W100" s="15" t="str">
        <f>IF(IFERROR(VLOOKUP($M100,#REF!,1,0),"-")="-","","GS")</f>
        <v/>
      </c>
      <c r="X100" s="160">
        <v>22</v>
      </c>
      <c r="Y100" s="166" t="s">
        <v>498</v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IF($AA100="","",IF($B100="I",VLOOKUP($AA100,#REF!,53,0),INDEX(VALUES!$B$1:$BQ$1,1,$AA100)))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499</v>
      </c>
      <c r="N101" s="14" t="s">
        <v>496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IF($AA101="","",IF($B101="I",VLOOKUP($AA101,#REF!,53,0),INDEX(VALUES!$B$1:$BQ$1,1,$AA101)))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500</v>
      </c>
      <c r="N102" s="14" t="s">
        <v>501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IF($AA102="","",IF($B102="I",VLOOKUP($AA102,#REF!,53,0),INDEX(VALUES!$B$1:$BQ$1,1,$AA102)))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502</v>
      </c>
      <c r="N103" s="14" t="s">
        <v>503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IF($AA103="","",IF($B103="I",VLOOKUP($AA103,#REF!,53,0),INDEX(VALUES!$B$1:$BQ$1,1,$AA103)))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504</v>
      </c>
      <c r="N104" s="14" t="s">
        <v>503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IF($AA104="","",IF($B104="I",VLOOKUP($AA104,#REF!,53,0),INDEX(VALUES!$B$1:$BQ$1,1,$AA104)))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505</v>
      </c>
      <c r="N105" s="14" t="s">
        <v>506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IF($AA105="","",IF($B105="I",VLOOKUP($AA105,#REF!,53,0),INDEX(VALUES!$B$1:$BQ$1,1,$AA105)))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507</v>
      </c>
      <c r="N106" s="14" t="s">
        <v>508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IF($AA106="","",IF($B106="I",VLOOKUP($AA106,#REF!,53,0),INDEX(VALUES!$B$1:$BQ$1,1,$AA106)))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509</v>
      </c>
      <c r="N107" s="14" t="s">
        <v>510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IF($AA107="","",IF($B107="I",VLOOKUP($AA107,#REF!,53,0),INDEX(VALUES!$B$1:$BQ$1,1,$AA107)))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511</v>
      </c>
      <c r="N108" s="14" t="s">
        <v>512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IF($AA108="","",IF($B108="I",VLOOKUP($AA108,#REF!,53,0),INDEX(VALUES!$B$1:$BQ$1,1,$AA108)))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1313</v>
      </c>
      <c r="N109" s="53" t="s">
        <v>1314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 t="s">
        <v>264</v>
      </c>
      <c r="X109" s="160"/>
      <c r="Y109" s="53" t="s">
        <v>1315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IF($AA109="","",IF($B109="I",VLOOKUP($AA109,#REF!,53,0),INDEX(VALUES!$B$1:$BQ$1,1,$AA109)))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1316</v>
      </c>
      <c r="N110" s="53" t="s">
        <v>1317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264</v>
      </c>
      <c r="X110" s="160"/>
      <c r="Y110" s="53" t="s">
        <v>1318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IF($AA110="","",IF($B110="I",VLOOKUP($AA110,#REF!,53,0),INDEX(VALUES!$B$1:$BQ$1,1,$AA110)))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513</v>
      </c>
      <c r="N111" s="14" t="s">
        <v>514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X111" s="160"/>
      <c r="Y111" s="14" t="s">
        <v>515</v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IF($AA111="","",IF($B111="I",VLOOKUP($AA111,#REF!,53,0),INDEX(VALUES!$B$1:$BQ$1,1,$AA111)))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516</v>
      </c>
      <c r="N112" s="14" t="s">
        <v>517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518</v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IF($AA112="","",IF($B112="I",VLOOKUP($AA112,#REF!,53,0),INDEX(VALUES!$B$1:$BQ$1,1,$AA112)))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519</v>
      </c>
      <c r="N113" s="159" t="s">
        <v>520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X113" s="160">
        <v>44</v>
      </c>
      <c r="Y113" s="159" t="s">
        <v>521</v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IF($AA113="","",IF($B113="I",VLOOKUP($AA113,#REF!,53,0),INDEX(VALUES!$B$1:$BQ$1,1,$AA113)))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522</v>
      </c>
      <c r="N114" s="159" t="s">
        <v>523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X114" s="160">
        <v>45</v>
      </c>
      <c r="Y114" s="159" t="s">
        <v>521</v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IF($AA114="","",IF($B114="I",VLOOKUP($AA114,#REF!,53,0),INDEX(VALUES!$B$1:$BQ$1,1,$AA114)))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524</v>
      </c>
      <c r="N115" s="14" t="s">
        <v>525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526</v>
      </c>
      <c r="W115" s="15" t="str">
        <f>IF(IFERROR(VLOOKUP($M115,#REF!,1,0),"-")="-","","GS")</f>
        <v/>
      </c>
      <c r="X115" s="160" t="s">
        <v>264</v>
      </c>
      <c r="Y115" s="166" t="s">
        <v>527</v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IF($AA115="","",IF($B115="I",VLOOKUP($AA115,#REF!,53,0),INDEX(VALUES!$B$1:$BQ$1,1,$AA115)))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528</v>
      </c>
      <c r="N116" s="14" t="s">
        <v>529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530</v>
      </c>
      <c r="W116" s="15" t="str">
        <f>IF(IFERROR(VLOOKUP($M116,#REF!,1,0),"-")="-","","GS")</f>
        <v/>
      </c>
      <c r="X116" s="160" t="s">
        <v>264</v>
      </c>
      <c r="Y116" s="166" t="s">
        <v>531</v>
      </c>
      <c r="Z116" s="59" t="str">
        <f>IF(OR($M116="",NOT($O116="{array}")),"",IFERROR(MATCH(PARAMETERS!$M116,DEFAULT!$B$5:$CI$5,0),""))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IF($AA116="","",IF($B116="I",VLOOKUP($AA116,#REF!,53,0),INDEX(VALUES!$B$1:$BQ$1,1,$AA116)))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532</v>
      </c>
      <c r="N117" s="14" t="s">
        <v>533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IF($AA117="","",IF($B117="I",VLOOKUP($AA117,#REF!,53,0),INDEX(VALUES!$B$1:$BQ$1,1,$AA117)))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534</v>
      </c>
      <c r="N118" s="204" t="s">
        <v>535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X118" s="207"/>
      <c r="Y118" s="204"/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IF($AA118="","",IF($B118="I",VLOOKUP($AA118,#REF!,53,0),INDEX(VALUES!$B$1:$BQ$1,1,$AA118)))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536</v>
      </c>
      <c r="N119" s="204" t="s">
        <v>537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IF($AA119="","",IF($B119="I",VLOOKUP($AA119,#REF!,53,0),INDEX(VALUES!$B$1:$BQ$1,1,$AA119)))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538</v>
      </c>
      <c r="N120" s="204" t="s">
        <v>539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IF($AA120="","",IF($B120="I",VLOOKUP($AA120,#REF!,53,0),INDEX(VALUES!$B$1:$BQ$1,1,$AA120)))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540</v>
      </c>
      <c r="N121" s="204" t="s">
        <v>541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IF($AA121="","",IF($B121="I",VLOOKUP($AA121,#REF!,53,0),INDEX(VALUES!$B$1:$BQ$1,1,$AA121)))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542</v>
      </c>
      <c r="N122" s="204" t="s">
        <v>543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IF($AA122="","",IF($B122="I",VLOOKUP($AA122,#REF!,53,0),INDEX(VALUES!$B$1:$BQ$1,1,$AA122)))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544</v>
      </c>
      <c r="N123" s="204" t="s">
        <v>545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IF($AA123="","",IF($B123="I",VLOOKUP($AA123,#REF!,53,0),INDEX(VALUES!$B$1:$BQ$1,1,$AA123)))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546</v>
      </c>
      <c r="N124" s="14" t="s">
        <v>547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IF($AA124="","",IF($B124="I",VLOOKUP($AA124,#REF!,53,0),INDEX(VALUES!$B$1:$BQ$1,1,$AA124)))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548</v>
      </c>
      <c r="N125" s="41" t="s">
        <v>549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ref="AA125:AA204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IF($AA125="","",IF($B125="I",VLOOKUP($AA125,#REF!,53,0),INDEX(VALUES!$B$1:$BQ$1,1,$AA125)))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550</v>
      </c>
      <c r="N126" s="53" t="s">
        <v>551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IF($AA126="","",IF($B126="I",VLOOKUP($AA126,#REF!,53,0),INDEX(VALUES!$B$1:$BQ$1,1,$AA126)))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552</v>
      </c>
      <c r="N127" s="14" t="s">
        <v>553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554</v>
      </c>
      <c r="W127" s="15" t="str">
        <f>IF(IFERROR(VLOOKUP($M127,#REF!,1,0),"-")="-","","GS")</f>
        <v/>
      </c>
      <c r="X127" s="160">
        <v>25</v>
      </c>
      <c r="Y127" s="166" t="s">
        <v>555</v>
      </c>
      <c r="Z127" s="59" t="str">
        <f>IF(OR($M127="",NOT($O127="{array}")),"",IFERROR(MATCH(PARAMETERS!$M127,DEFAULT!$B$5:$CI$5,0),""))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IF($AA127="","",IF($B127="I",VLOOKUP($AA127,#REF!,53,0),INDEX(VALUES!$B$1:$BQ$1,1,$AA127)))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556</v>
      </c>
      <c r="N128" s="14" t="s">
        <v>553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IF($AA128="","",IF($B128="I",VLOOKUP($AA128,#REF!,53,0),INDEX(VALUES!$B$1:$BQ$1,1,$AA128)))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30" t="s">
        <v>1218</v>
      </c>
      <c r="N129" s="14" t="s">
        <v>1219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557</v>
      </c>
      <c r="W129" s="15" t="str">
        <f>IF(IFERROR(VLOOKUP($M129,#REF!,1,0),"-")="-","","GS")</f>
        <v/>
      </c>
      <c r="X129" s="160">
        <v>51</v>
      </c>
      <c r="Y129" s="166" t="s">
        <v>558</v>
      </c>
      <c r="Z129" s="59" t="str">
        <f>IF(OR($M129="",NOT($O129="{array}")),"",IFERROR(MATCH(PARAMETERS!$M129,DEFAULT!$B$5:$CI$5,0),""))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IF($AA129="","",IF($B129="I",VLOOKUP($AA129,#REF!,53,0),INDEX(VALUES!$B$1:$BQ$1,1,$AA129)))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1312</v>
      </c>
      <c r="N130" s="166" t="s">
        <v>559</v>
      </c>
      <c r="O130" s="166" t="s">
        <v>1244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559</v>
      </c>
      <c r="W130" s="15" t="str">
        <f>IF(IFERROR(VLOOKUP($M130,#REF!,1,0),"-")="-","","GS")</f>
        <v/>
      </c>
      <c r="X130" s="160">
        <v>51</v>
      </c>
      <c r="Y130" s="166" t="s">
        <v>558</v>
      </c>
      <c r="Z130" s="59" t="str">
        <f>IF(OR($M130="",NOT($O130="{array}")),"",IFERROR(MATCH(PARAMETERS!$M130,DEFAULT!$B$5:$CI$5,0),""))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IF($AA130="","",IF($B130="I",VLOOKUP($AA130,#REF!,53,0),INDEX(VALUES!$B$1:$BQ$1,1,$AA130)))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560</v>
      </c>
      <c r="N131" s="14" t="s">
        <v>561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IF($AA131="","",IF($B131="I",VLOOKUP($AA131,#REF!,53,0),INDEX(VALUES!$B$1:$BQ$1,1,$AA131)))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562</v>
      </c>
      <c r="N132" s="14" t="s">
        <v>563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IF($AA132="","",IF($B132="I",VLOOKUP($AA132,#REF!,53,0),INDEX(VALUES!$B$1:$BQ$1,1,$AA132)))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564</v>
      </c>
      <c r="N133" s="14" t="s">
        <v>565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IF($AA133="","",IF($B133="I",VLOOKUP($AA133,#REF!,53,0),INDEX(VALUES!$B$1:$BQ$1,1,$AA133)))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566</v>
      </c>
      <c r="N134" s="14" t="s">
        <v>567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IF($AA134="","",IF($B134="I",VLOOKUP($AA134,#REF!,53,0),INDEX(VALUES!$B$1:$BQ$1,1,$AA134)))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568</v>
      </c>
      <c r="N135" s="14" t="s">
        <v>569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IF($AA135="","",IF($B135="I",VLOOKUP($AA135,#REF!,53,0),INDEX(VALUES!$B$1:$BQ$1,1,$AA135)))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570</v>
      </c>
      <c r="N136" s="14" t="s">
        <v>571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IF($AA136="","",IF($B136="I",VLOOKUP($AA136,#REF!,53,0),INDEX(VALUES!$B$1:$BQ$1,1,$AA136)))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572</v>
      </c>
      <c r="N137" s="14" t="s">
        <v>573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IF($AA137="","",IF($B137="I",VLOOKUP($AA137,#REF!,53,0),INDEX(VALUES!$B$1:$BQ$1,1,$AA137)))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574</v>
      </c>
      <c r="N138" s="14" t="s">
        <v>575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IF($AA138="","",IF($B138="I",VLOOKUP($AA138,#REF!,53,0),INDEX(VALUES!$B$1:$BQ$1,1,$AA138)))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576</v>
      </c>
      <c r="N139" s="14" t="s">
        <v>577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IF($AA139="","",IF($B139="I",VLOOKUP($AA139,#REF!,53,0),INDEX(VALUES!$B$1:$BQ$1,1,$AA139)))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578</v>
      </c>
      <c r="N140" s="14" t="s">
        <v>579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IF($AA140="","",IF($B140="I",VLOOKUP($AA140,#REF!,53,0),INDEX(VALUES!$B$1:$BQ$1,1,$AA140)))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30" t="s">
        <v>1195</v>
      </c>
      <c r="N141" s="53" t="s">
        <v>1196</v>
      </c>
      <c r="O141" s="155">
        <v>1</v>
      </c>
      <c r="P141" s="53"/>
      <c r="Q141" s="208" t="s">
        <v>9</v>
      </c>
      <c r="R141" s="38" t="s">
        <v>195</v>
      </c>
      <c r="S141" s="231" t="s">
        <v>112</v>
      </c>
      <c r="T141" s="170"/>
      <c r="U141" s="166"/>
      <c r="V141" s="166"/>
      <c r="W141" s="15"/>
      <c r="X141" s="160"/>
      <c r="Y141" s="166"/>
      <c r="Z141" s="59" t="str">
        <f>IF(OR($M141="",NOT($O141="{array}")),"",IFERROR(MATCH(PARAMETERS!$M141,DEFAULT!$B$5:$CI$5,0),""))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IF($AA141="","",IF($B141="I",VLOOKUP($AA141,#REF!,53,0),INDEX(VALUES!$B$1:$BQ$1,1,$AA141)))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30" t="s">
        <v>1197</v>
      </c>
      <c r="N142" s="53" t="s">
        <v>1198</v>
      </c>
      <c r="O142" s="155">
        <v>7.0000000000000007E-2</v>
      </c>
      <c r="P142" s="53"/>
      <c r="Q142" s="208" t="s">
        <v>9</v>
      </c>
      <c r="R142" s="38" t="s">
        <v>195</v>
      </c>
      <c r="S142" s="231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IF(OR($M142="",NOT($O142="{array}")),"",IFERROR(MATCH(PARAMETERS!$M142,DEFAULT!$B$5:$CI$5,0),""))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IF($AA142="","",IF($B142="I",VLOOKUP($AA142,#REF!,53,0),INDEX(VALUES!$B$1:$BQ$1,1,$AA142)))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0" t="s">
        <v>1199</v>
      </c>
      <c r="N143" s="53" t="s">
        <v>1200</v>
      </c>
      <c r="O143" s="155">
        <v>0.1</v>
      </c>
      <c r="P143" s="53"/>
      <c r="Q143" s="208" t="s">
        <v>9</v>
      </c>
      <c r="R143" s="38" t="s">
        <v>195</v>
      </c>
      <c r="S143" s="231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IF(OR($M143="",NOT($O143="{array}")),"",IFERROR(MATCH(PARAMETERS!$M143,DEFAULT!$B$5:$CI$5,0),""))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IF($AA143="","",IF($B143="I",VLOOKUP($AA143,#REF!,53,0),INDEX(VALUES!$B$1:$BQ$1,1,$AA143)))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0" t="s">
        <v>1201</v>
      </c>
      <c r="N144" s="53" t="s">
        <v>1202</v>
      </c>
      <c r="O144" s="155">
        <v>0.1</v>
      </c>
      <c r="P144" s="53"/>
      <c r="Q144" s="208" t="s">
        <v>9</v>
      </c>
      <c r="R144" s="38" t="s">
        <v>195</v>
      </c>
      <c r="S144" s="231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IF(OR($M144="",NOT($O144="{array}")),"",IFERROR(MATCH(PARAMETERS!$M144,DEFAULT!$B$5:$CI$5,0),""))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IF($AA144="","",IF($B144="I",VLOOKUP($AA144,#REF!,53,0),INDEX(VALUES!$B$1:$BQ$1,1,$AA144)))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0" t="s">
        <v>1203</v>
      </c>
      <c r="N145" s="53" t="s">
        <v>1204</v>
      </c>
      <c r="O145" s="155">
        <v>0.1</v>
      </c>
      <c r="P145" s="53"/>
      <c r="Q145" s="208" t="s">
        <v>9</v>
      </c>
      <c r="R145" s="38" t="s">
        <v>195</v>
      </c>
      <c r="S145" s="231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IF(OR($M145="",NOT($O145="{array}")),"",IFERROR(MATCH(PARAMETERS!$M145,DEFAULT!$B$5:$CI$5,0),""))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IF($AA145="","",IF($B145="I",VLOOKUP($AA145,#REF!,53,0),INDEX(VALUES!$B$1:$BQ$1,1,$AA145)))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0" t="s">
        <v>1205</v>
      </c>
      <c r="N146" s="53" t="s">
        <v>1206</v>
      </c>
      <c r="O146" s="155">
        <v>0.12</v>
      </c>
      <c r="P146" s="53"/>
      <c r="Q146" s="208" t="s">
        <v>9</v>
      </c>
      <c r="R146" s="38" t="s">
        <v>195</v>
      </c>
      <c r="S146" s="231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IF(OR($M146="",NOT($O146="{array}")),"",IFERROR(MATCH(PARAMETERS!$M146,DEFAULT!$B$5:$CI$5,0),""))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IF($AA146="","",IF($B146="I",VLOOKUP($AA146,#REF!,53,0),INDEX(VALUES!$B$1:$BQ$1,1,$AA146)))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0" t="s">
        <v>1207</v>
      </c>
      <c r="N147" s="53" t="s">
        <v>1208</v>
      </c>
      <c r="O147" s="155">
        <v>8.0000000000000002E-3</v>
      </c>
      <c r="P147" s="53"/>
      <c r="Q147" s="208" t="s">
        <v>9</v>
      </c>
      <c r="R147" s="38" t="s">
        <v>195</v>
      </c>
      <c r="S147" s="231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IF(OR($M147="",NOT($O147="{array}")),"",IFERROR(MATCH(PARAMETERS!$M147,DEFAULT!$B$5:$CI$5,0),""))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IF($AA147="","",IF($B147="I",VLOOKUP($AA147,#REF!,53,0),INDEX(VALUES!$B$1:$BQ$1,1,$AA147)))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0" t="s">
        <v>1209</v>
      </c>
      <c r="N148" s="53" t="s">
        <v>1210</v>
      </c>
      <c r="O148" s="155">
        <v>8.0000000000000002E-3</v>
      </c>
      <c r="P148" s="53"/>
      <c r="Q148" s="208" t="s">
        <v>9</v>
      </c>
      <c r="R148" s="38" t="s">
        <v>195</v>
      </c>
      <c r="S148" s="231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IF(OR($M148="",NOT($O148="{array}")),"",IFERROR(MATCH(PARAMETERS!$M148,DEFAULT!$B$5:$CI$5,0),""))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IF($AA148="","",IF($B148="I",VLOOKUP($AA148,#REF!,53,0),INDEX(VALUES!$B$1:$BQ$1,1,$AA148)))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0" t="s">
        <v>1215</v>
      </c>
      <c r="N149" s="166" t="s">
        <v>580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580</v>
      </c>
      <c r="W149" s="15" t="str">
        <f>IF(IFERROR(VLOOKUP($M149,#REF!,1,0),"-")="-","","GS")</f>
        <v/>
      </c>
      <c r="X149" s="160">
        <v>53</v>
      </c>
      <c r="Y149" s="166" t="s">
        <v>581</v>
      </c>
      <c r="Z149" s="59" t="str">
        <f>IF(OR($M149="",NOT($O149="{array}")),"",IFERROR(MATCH(PARAMETERS!$M149,DEFAULT!$B$5:$CI$5,0),""))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IF($AA149="","",IF($B149="I",VLOOKUP($AA149,#REF!,53,0),INDEX(VALUES!$B$1:$BQ$1,1,$AA149)))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0" t="s">
        <v>1216</v>
      </c>
      <c r="N150" s="159" t="s">
        <v>582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582</v>
      </c>
      <c r="W150" s="15" t="str">
        <f>IF(IFERROR(VLOOKUP($M150,#REF!,1,0),"-")="-","","GS")</f>
        <v/>
      </c>
      <c r="X150" s="176">
        <v>53</v>
      </c>
      <c r="Y150" s="159" t="s">
        <v>581</v>
      </c>
      <c r="Z150" s="59" t="str">
        <f>IF(OR($M150="",NOT($O150="{array}")),"",IFERROR(MATCH(PARAMETERS!$M150,DEFAULT!$B$5:$CI$5,0),""))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IF($AA150="","",IF($B150="I",VLOOKUP($AA150,#REF!,53,0),INDEX(VALUES!$B$1:$BQ$1,1,$AA150)))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0" t="s">
        <v>1217</v>
      </c>
      <c r="N151" s="159" t="s">
        <v>583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583</v>
      </c>
      <c r="W151" s="15" t="str">
        <f>IF(IFERROR(VLOOKUP($M151,#REF!,1,0),"-")="-","","GS")</f>
        <v/>
      </c>
      <c r="X151" s="176">
        <v>53</v>
      </c>
      <c r="Y151" s="159" t="s">
        <v>581</v>
      </c>
      <c r="Z151" s="59" t="str">
        <f>IF(OR($M151="",NOT($O151="{array}")),"",IFERROR(MATCH(PARAMETERS!$M151,DEFAULT!$B$5:$CI$5,0),""))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IF($AA151="","",IF($B151="I",VLOOKUP($AA151,#REF!,53,0),INDEX(VALUES!$B$1:$BQ$1,1,$AA151)))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0" t="s">
        <v>1222</v>
      </c>
      <c r="N152" s="159" t="s">
        <v>584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584</v>
      </c>
      <c r="W152" s="15" t="str">
        <f>IF(IFERROR(VLOOKUP($M152,#REF!,1,0),"-")="-","","GS")</f>
        <v/>
      </c>
      <c r="X152" s="176">
        <v>53</v>
      </c>
      <c r="Y152" s="159" t="s">
        <v>581</v>
      </c>
      <c r="Z152" s="59" t="str">
        <f>IF(OR($M152="",NOT($O152="{array}")),"",IFERROR(MATCH(PARAMETERS!$M152,DEFAULT!$B$5:$CI$5,0),""))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IF($AA152="","",IF($B152="I",VLOOKUP($AA152,#REF!,53,0),INDEX(VALUES!$B$1:$BQ$1,1,$AA152)))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585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585</v>
      </c>
      <c r="W153" s="15" t="str">
        <f>IF(IFERROR(VLOOKUP($M153,#REF!,1,0),"-")="-","","GS")</f>
        <v/>
      </c>
      <c r="X153" s="160">
        <v>49</v>
      </c>
      <c r="Y153" s="166" t="s">
        <v>586</v>
      </c>
      <c r="Z153" s="59" t="str">
        <f>IF(OR($M153="",NOT($O153="{array}")),"",IFERROR(MATCH(PARAMETERS!$M153,DEFAULT!$B$5:$CI$5,0),""))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IF($AA153="","",IF($B153="I",VLOOKUP($AA153,#REF!,53,0),INDEX(VALUES!$B$1:$BQ$1,1,$AA153)))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587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587</v>
      </c>
      <c r="W154" s="15" t="str">
        <f>IF(IFERROR(VLOOKUP($M154,#REF!,1,0),"-")="-","","GS")</f>
        <v/>
      </c>
      <c r="X154" s="160">
        <v>52</v>
      </c>
      <c r="Y154" s="166" t="s">
        <v>588</v>
      </c>
      <c r="Z154" s="59" t="str">
        <f>IF(OR($M154="",NOT($O154="{array}")),"",IFERROR(MATCH(PARAMETERS!$M154,DEFAULT!$B$5:$CI$5,0),""))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IF($AA154="","",IF($B154="I",VLOOKUP($AA154,#REF!,53,0),INDEX(VALUES!$B$1:$BQ$1,1,$AA154)))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589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589</v>
      </c>
      <c r="W155" s="15" t="str">
        <f>IF(IFERROR(VLOOKUP($M155,#REF!,1,0),"-")="-","","GS")</f>
        <v/>
      </c>
      <c r="X155" s="160" t="s">
        <v>264</v>
      </c>
      <c r="Y155" s="166" t="s">
        <v>590</v>
      </c>
      <c r="Z155" s="59" t="str">
        <f>IF(OR($M155="",NOT($O155="{array}")),"",IFERROR(MATCH(PARAMETERS!$M155,DEFAULT!$B$5:$CI$5,0),""))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IF($AA155="","",IF($B155="I",VLOOKUP($AA155,#REF!,53,0),INDEX(VALUES!$B$1:$BQ$1,1,$AA155)))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591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591</v>
      </c>
      <c r="W156" s="15" t="str">
        <f>IF(IFERROR(VLOOKUP($M156,#REF!,1,0),"-")="-","","GS")</f>
        <v/>
      </c>
      <c r="X156" s="160">
        <v>54</v>
      </c>
      <c r="Y156" s="166" t="s">
        <v>592</v>
      </c>
      <c r="Z156" s="59" t="str">
        <f>IF(OR($M156="",NOT($O156="{array}")),"",IFERROR(MATCH(PARAMETERS!$M156,DEFAULT!$B$5:$CI$5,0),""))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IF($AA156="","",IF($B156="I",VLOOKUP($AA156,#REF!,53,0),INDEX(VALUES!$B$1:$BQ$1,1,$AA156)))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593</v>
      </c>
      <c r="N157" s="166" t="s">
        <v>594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594</v>
      </c>
      <c r="W157" s="15" t="str">
        <f>IF(IFERROR(VLOOKUP($M157,#REF!,1,0),"-")="-","","GS")</f>
        <v/>
      </c>
      <c r="X157" s="160">
        <v>50</v>
      </c>
      <c r="Y157" s="166" t="s">
        <v>595</v>
      </c>
      <c r="Z157" s="59" t="str">
        <f>IF(OR($M157="",NOT($O157="{array}")),"",IFERROR(MATCH(PARAMETERS!$M157,DEFAULT!$B$5:$CI$5,0),""))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IF($AA157="","",IF($B157="I",VLOOKUP($AA157,#REF!,53,0),INDEX(VALUES!$B$1:$BQ$1,1,$AA157)))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596</v>
      </c>
      <c r="N158" s="14" t="s">
        <v>597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Y158" s="53" t="s">
        <v>598</v>
      </c>
      <c r="Z158" s="59" t="str">
        <f>IF(OR($M158="",NOT($O158="{array}")),"",IFERROR(MATCH(PARAMETERS!$M158,DEFAULT!$B$5:$CI$5,0),""))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IF($AA158="","",IF($B158="I",VLOOKUP($AA158,#REF!,53,0),INDEX(VALUES!$B$1:$BQ$1,1,$AA158)))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599</v>
      </c>
      <c r="N159" s="14" t="s">
        <v>600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598</v>
      </c>
      <c r="Z159" s="59" t="str">
        <f>IF(OR($M159="",NOT($O159="{array}")),"",IFERROR(MATCH(PARAMETERS!$M159,DEFAULT!$B$5:$CI$5,0),""))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IF($AA159="","",IF($B159="I",VLOOKUP($AA159,#REF!,53,0),INDEX(VALUES!$B$1:$BQ$1,1,$AA159)))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30" t="s">
        <v>1220</v>
      </c>
      <c r="N160" s="53" t="s">
        <v>1221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Y160" s="53"/>
      <c r="Z160" s="59" t="str">
        <f>IF(OR($M160="",NOT($O160="{array}")),"",IFERROR(MATCH(PARAMETERS!$M160,DEFAULT!$B$5:$CI$5,0),""))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IF($AA160="","",IF($B160="I",VLOOKUP($AA160,#REF!,53,0),INDEX(VALUES!$B$1:$BQ$1,1,$AA160)))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601</v>
      </c>
      <c r="N161" s="159" t="s">
        <v>602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X161" s="160"/>
      <c r="Y161" s="166"/>
      <c r="Z161" s="59">
        <f>IF(OR($M161="",NOT($O161="{array}")),"",IFERROR(MATCH(PARAMETERS!$M161,DEFAULT!$B$5:$CI$5,0),""))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IF($AA161="","",IF($B161="I",VLOOKUP($AA161,#REF!,53,0),INDEX(VALUES!$B$1:$BQ$1,1,$AA161)))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9" t="s">
        <v>1181</v>
      </c>
      <c r="N162" s="53" t="s">
        <v>1183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 t="str">
        <f>IF(OR($M162="",NOT($O162="{array}")),"",IFERROR(MATCH(PARAMETERS!$M162,DEFAULT!$B$5:$CI$5,0),""))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IF($AA162="","",IF($B162="I",VLOOKUP($AA162,#REF!,53,0),INDEX(VALUES!$B$1:$BQ$1,1,$AA162)))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603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603</v>
      </c>
      <c r="W163" s="15" t="str">
        <f>IF(IFERROR(VLOOKUP($M163,#REF!,1,0),"-")="-","","GS")</f>
        <v/>
      </c>
      <c r="X163" s="160">
        <v>55</v>
      </c>
      <c r="Y163" s="166" t="s">
        <v>604</v>
      </c>
      <c r="Z163" s="59" t="str">
        <f>IF(OR($M163="",NOT($O163="{array}")),"",IFERROR(MATCH(PARAMETERS!$M163,DEFAULT!$B$5:$CI$5,0),""))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IF($AA163="","",IF($B163="I",VLOOKUP($AA163,#REF!,53,0),INDEX(VALUES!$B$1:$BQ$1,1,$AA163)))</f>
        <v/>
      </c>
    </row>
    <row r="164" spans="1:29" hidden="1" outlineLevel="1" x14ac:dyDescent="0.3">
      <c r="A164" s="22" t="s">
        <v>84</v>
      </c>
      <c r="B164" s="41" t="str">
        <f t="shared" ref="B164:B180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605</v>
      </c>
      <c r="N164" s="14" t="s">
        <v>606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IF($AA164="","",IF($B164="I",VLOOKUP($AA164,#REF!,53,0),INDEX(VALUES!$B$1:$BQ$1,1,$AA164)))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607</v>
      </c>
      <c r="N165" s="14" t="s">
        <v>608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IF($AA165="","",IF($B165="I",VLOOKUP($AA165,#REF!,53,0),INDEX(VALUES!$B$1:$BQ$1,1,$AA165)))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609</v>
      </c>
      <c r="N166" s="14" t="s">
        <v>610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IF($AA166="","",IF($B166="I",VLOOKUP($AA166,#REF!,53,0),INDEX(VALUES!$B$1:$BQ$1,1,$AA166)))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611</v>
      </c>
      <c r="N167" s="14" t="s">
        <v>612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IF($AA167="","",IF($B167="I",VLOOKUP($AA167,#REF!,53,0),INDEX(VALUES!$B$1:$BQ$1,1,$AA167)))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613</v>
      </c>
      <c r="N168" s="14" t="s">
        <v>614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IF($AA168="","",IF($B168="I",VLOOKUP($AA168,#REF!,53,0),INDEX(VALUES!$B$1:$BQ$1,1,$AA168)))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615</v>
      </c>
      <c r="N169" s="14" t="s">
        <v>616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IF($AA169="","",IF($B169="I",VLOOKUP($AA169,#REF!,53,0),INDEX(VALUES!$B$1:$BQ$1,1,$AA169)))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617</v>
      </c>
      <c r="N170" s="14" t="s">
        <v>618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IF($AA170="","",IF($B170="I",VLOOKUP($AA170,#REF!,53,0),INDEX(VALUES!$B$1:$BQ$1,1,$AA170)))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30" t="s">
        <v>1185</v>
      </c>
      <c r="N171" s="53" t="s">
        <v>1186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X171" s="160"/>
      <c r="Y171" s="166"/>
      <c r="Z171" s="59" t="str">
        <f>IF(OR($M171="",NOT($O171="{array}")),"",IFERROR(MATCH(PARAMETERS!$M171,DEFAULT!$B$5:$CI$5,0),""))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IF($AA171="","",IF($B171="I",VLOOKUP($AA171,#REF!,53,0),INDEX(VALUES!$B$1:$BQ$1,1,$AA171)))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30" t="s">
        <v>1187</v>
      </c>
      <c r="N172" s="53" t="s">
        <v>1188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X172" s="160"/>
      <c r="Y172" s="166"/>
      <c r="Z172" s="59" t="str">
        <f>IF(OR($M172="",NOT($O172="{array}")),"",IFERROR(MATCH(PARAMETERS!$M172,DEFAULT!$B$5:$CI$5,0),""))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IF($AA172="","",IF($B172="I",VLOOKUP($AA172,#REF!,53,0),INDEX(VALUES!$B$1:$BQ$1,1,$AA172)))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30" t="s">
        <v>1189</v>
      </c>
      <c r="N173" s="53" t="s">
        <v>1190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X173" s="160"/>
      <c r="Y173" s="166"/>
      <c r="Z173" s="59" t="str">
        <f>IF(OR($M173="",NOT($O173="{array}")),"",IFERROR(MATCH(PARAMETERS!$M173,DEFAULT!$B$5:$CI$5,0),""))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IF($AA173="","",IF($B173="I",VLOOKUP($AA173,#REF!,53,0),INDEX(VALUES!$B$1:$BQ$1,1,$AA173)))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0" t="s">
        <v>1191</v>
      </c>
      <c r="N174" s="53" t="s">
        <v>1192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X174" s="160"/>
      <c r="Y174" s="166"/>
      <c r="Z174" s="59" t="str">
        <f>IF(OR($M174="",NOT($O174="{array}")),"",IFERROR(MATCH(PARAMETERS!$M174,DEFAULT!$B$5:$CI$5,0),""))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IF($AA174="","",IF($B174="I",VLOOKUP($AA174,#REF!,53,0),INDEX(VALUES!$B$1:$BQ$1,1,$AA174)))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0" t="s">
        <v>1193</v>
      </c>
      <c r="N175" s="53" t="s">
        <v>1194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X175" s="160"/>
      <c r="Y175" s="166"/>
      <c r="Z175" s="59" t="str">
        <f>IF(OR($M175="",NOT($O175="{array}")),"",IFERROR(MATCH(PARAMETERS!$M175,DEFAULT!$B$5:$CI$5,0),""))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IF($AA175="","",IF($B175="I",VLOOKUP($AA175,#REF!,53,0),INDEX(VALUES!$B$1:$BQ$1,1,$AA175)))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7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619</v>
      </c>
      <c r="N176" s="41" t="s">
        <v>620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IF($AA176="","",IF($B176="I",VLOOKUP($AA176,#REF!,53,0),INDEX(VALUES!$B$1:$BQ$1,1,$AA176)))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621</v>
      </c>
      <c r="N177" s="53" t="s">
        <v>620</v>
      </c>
      <c r="O177" s="155" t="s">
        <v>1053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622</v>
      </c>
      <c r="W177" s="15" t="str">
        <f>IF(IFERROR(VLOOKUP(#REF!,#REF!,1,0),"-")="-","","GS")</f>
        <v/>
      </c>
      <c r="X177" s="160" t="s">
        <v>264</v>
      </c>
      <c r="Y177" s="166" t="s">
        <v>623</v>
      </c>
      <c r="Z177" s="59" t="str">
        <f>IF(OR($M177="",NOT($O177="{array}")),"",IFERROR(MATCH(PARAMETERS!$M177,DEFAULT!$B$5:$CI$5,0),""))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IF($AA177="","",IF($B177="I",VLOOKUP($AA177,#REF!,53,0),INDEX(VALUES!$B$1:$BQ$1,1,$AA177)))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1055</v>
      </c>
      <c r="N178" s="53" t="s">
        <v>1054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X178" s="160"/>
      <c r="Y178" s="166"/>
      <c r="Z178" s="59" t="str">
        <f>IF(OR($M178="",NOT($O178="{array}")),"",IFERROR(MATCH(PARAMETERS!$M178,DEFAULT!$B$5:$CI$5,0),""))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IF($AA178="","",IF($B178="I",VLOOKUP($AA178,#REF!,53,0),INDEX(VALUES!$B$1:$BQ$1,1,$AA178)))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1309</v>
      </c>
      <c r="N179" s="166" t="s">
        <v>1310</v>
      </c>
      <c r="O179" s="166" t="s">
        <v>1311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1310</v>
      </c>
      <c r="W179" s="15"/>
      <c r="X179" s="160"/>
      <c r="Y179" s="166"/>
      <c r="Z179" s="59" t="str">
        <f>IF(OR($M179="",NOT($O179="{array}")),"",IFERROR(MATCH(PARAMETERS!$M179,DEFAULT!$B$5:$CI$5,0),""))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IF($AA179="","",IF($B179="I",VLOOKUP($AA179,#REF!,53,0),INDEX(VALUES!$B$1:$BQ$1,1,$AA179)))</f>
        <v/>
      </c>
    </row>
    <row r="180" spans="1:29" collapsed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647</v>
      </c>
      <c r="N180" s="41" t="s">
        <v>1059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IF($AA180="","",IF($B180="I",VLOOKUP($AA180,#REF!,53,0),INDEX(VALUES!$B$1:$BQ$1,1,$AA180)))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624</v>
      </c>
      <c r="N181" s="14" t="s">
        <v>625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 t="shared" ref="AA181:AA200" si="14"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IF($AA181="","",IF($B181="I",VLOOKUP($AA181,#REF!,53,0),INDEX(VALUES!$B$1:$BQ$1,1,$AA181)))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626</v>
      </c>
      <c r="N182" s="14" t="s">
        <v>627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 t="shared" si="14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IF($AA182="","",IF($B182="I",VLOOKUP($AA182,#REF!,53,0),INDEX(VALUES!$B$1:$BQ$1,1,$AA182)))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628</v>
      </c>
      <c r="N183" s="14" t="s">
        <v>629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 t="shared" si="14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IF($AA183="","",IF($B183="I",VLOOKUP($AA183,#REF!,53,0),INDEX(VALUES!$B$1:$BQ$1,1,$AA183)))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630</v>
      </c>
      <c r="N184" s="14" t="s">
        <v>631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 t="shared" si="14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IF($AA184="","",IF($B184="I",VLOOKUP($AA184,#REF!,53,0),INDEX(VALUES!$B$1:$BQ$1,1,$AA184)))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1138</v>
      </c>
      <c r="N185" s="159" t="s">
        <v>1139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X185" s="160"/>
      <c r="Y185" s="166"/>
      <c r="Z185" s="59" t="str">
        <f>IF(OR($M185="",NOT($O185="{array}")),"",IFERROR(MATCH(PARAMETERS!$M185,DEFAULT!$B$5:$CI$5,0),""))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IF($AA185="","",IF($B185="I",VLOOKUP($AA185,#REF!,53,0),INDEX(VALUES!$B$1:$BQ$1,1,$AA185)))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1140</v>
      </c>
      <c r="N186" s="159" t="s">
        <v>1141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X186" s="160"/>
      <c r="Y186" s="166"/>
      <c r="Z186" s="59" t="str">
        <f>IF(OR($M186="",NOT($O186="{array}")),"",IFERROR(MATCH(PARAMETERS!$M186,DEFAULT!$B$5:$CI$5,0),""))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IF($AA186="","",IF($B186="I",VLOOKUP($AA186,#REF!,53,0),INDEX(VALUES!$B$1:$BQ$1,1,$AA186)))</f>
        <v/>
      </c>
    </row>
    <row r="187" spans="1:29" hidden="1" outlineLevel="1" x14ac:dyDescent="0.25">
      <c r="A187" s="22" t="s">
        <v>84</v>
      </c>
      <c r="B187" s="41" t="str">
        <f t="shared" ref="B187:B194" si="15">IF($A187="P",IF(NOT($Z187=""),"A",IF(NOT($AA187=""),"I","")),IF(NOT($AA187=""),IF($A187="G","V","X"),IF(NOT($Z187=""),"A","")))</f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1104</v>
      </c>
      <c r="N187" s="53" t="s">
        <v>1107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X187" s="160"/>
      <c r="Y187" s="166"/>
      <c r="Z187" s="59" t="str">
        <f>IF(OR($M187="",NOT($O187="{array}")),"",IFERROR(MATCH(PARAMETERS!$M187,DEFAULT!$B$5:$CI$5,0),""))</f>
        <v/>
      </c>
      <c r="AA187" s="56" t="str">
        <f t="shared" ref="AA187:AA194" si="16">IF($M187="","",IFERROR(MATCH($M187,VALUESnames,0),""))</f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IF($AA187="","",IF($B187="I",VLOOKUP($AA187,#REF!,53,0),INDEX(VALUES!$B$1:$BQ$1,1,$AA187)))</f>
        <v/>
      </c>
    </row>
    <row r="188" spans="1:29" hidden="1" outlineLevel="1" x14ac:dyDescent="0.25">
      <c r="A188" s="22" t="s">
        <v>84</v>
      </c>
      <c r="B188" s="41" t="str">
        <f t="shared" si="15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1114</v>
      </c>
      <c r="N188" s="53" t="s">
        <v>1115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X188" s="160"/>
      <c r="Y188" s="166"/>
      <c r="Z188" s="59" t="str">
        <f>IF(OR($M188="",NOT($O188="{array}")),"",IFERROR(MATCH(PARAMETERS!$M188,DEFAULT!$B$5:$CI$5,0),""))</f>
        <v/>
      </c>
      <c r="AA188" s="56" t="str">
        <f t="shared" si="16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IF($AA188="","",IF($B188="I",VLOOKUP($AA188,#REF!,53,0),INDEX(VALUES!$B$1:$BQ$1,1,$AA188)))</f>
        <v/>
      </c>
    </row>
    <row r="189" spans="1:29" hidden="1" outlineLevel="1" x14ac:dyDescent="0.25">
      <c r="A189" s="22" t="s">
        <v>84</v>
      </c>
      <c r="B189" s="41" t="str">
        <f t="shared" si="15"/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9" t="s">
        <v>1177</v>
      </c>
      <c r="N189" s="53" t="s">
        <v>1178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X189" s="160"/>
      <c r="Y189" s="166"/>
      <c r="Z189" s="59" t="str">
        <f>IF(OR($M189="",NOT($O189="{array}")),"",IFERROR(MATCH(PARAMETERS!$M189,DEFAULT!$B$5:$CI$5,0),""))</f>
        <v/>
      </c>
      <c r="AA189" s="56" t="str">
        <f t="shared" si="16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IF($AA189="","",IF($B189="I",VLOOKUP($AA189,#REF!,53,0),INDEX(VALUES!$B$1:$BQ$1,1,$AA189)))</f>
        <v/>
      </c>
    </row>
    <row r="190" spans="1:29" hidden="1" outlineLevel="1" x14ac:dyDescent="0.25">
      <c r="A190" s="22" t="s">
        <v>84</v>
      </c>
      <c r="B190" s="41" t="str">
        <f t="shared" si="15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9" t="s">
        <v>1105</v>
      </c>
      <c r="N190" s="53" t="s">
        <v>1106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X190" s="160"/>
      <c r="Y190" s="166"/>
      <c r="Z190" s="59" t="str">
        <f>IF(OR($M190="",NOT($O190="{array}")),"",IFERROR(MATCH(PARAMETERS!$M190,DEFAULT!$B$5:$CI$5,0),""))</f>
        <v/>
      </c>
      <c r="AA190" s="56" t="str">
        <f t="shared" si="16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IF($AA190="","",IF($B190="I",VLOOKUP($AA190,#REF!,53,0),INDEX(VALUES!$B$1:$BQ$1,1,$AA190)))</f>
        <v/>
      </c>
    </row>
    <row r="191" spans="1:29" hidden="1" outlineLevel="1" x14ac:dyDescent="0.25">
      <c r="A191" s="22" t="s">
        <v>84</v>
      </c>
      <c r="B191" s="41" t="str">
        <f t="shared" si="15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9" t="s">
        <v>1108</v>
      </c>
      <c r="N191" s="53" t="s">
        <v>1109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X191" s="160"/>
      <c r="Y191" s="166"/>
      <c r="Z191" s="59" t="str">
        <f>IF(OR($M191="",NOT($O191="{array}")),"",IFERROR(MATCH(PARAMETERS!$M191,DEFAULT!$B$5:$CI$5,0),""))</f>
        <v/>
      </c>
      <c r="AA191" s="56" t="str">
        <f t="shared" si="16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IF($AA191="","",IF($B191="I",VLOOKUP($AA191,#REF!,53,0),INDEX(VALUES!$B$1:$BQ$1,1,$AA191)))</f>
        <v/>
      </c>
    </row>
    <row r="192" spans="1:29" hidden="1" outlineLevel="1" x14ac:dyDescent="0.25">
      <c r="A192" s="22" t="s">
        <v>84</v>
      </c>
      <c r="B192" s="41" t="str">
        <f t="shared" si="15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9" t="s">
        <v>1179</v>
      </c>
      <c r="N192" s="53" t="s">
        <v>1180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X192" s="160"/>
      <c r="Y192" s="166"/>
      <c r="Z192" s="59" t="str">
        <f>IF(OR($M192="",NOT($O192="{array}")),"",IFERROR(MATCH(PARAMETERS!$M192,DEFAULT!$B$5:$CI$5,0),""))</f>
        <v/>
      </c>
      <c r="AA192" s="56" t="str">
        <f t="shared" si="16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IF($AA192="","",IF($B192="I",VLOOKUP($AA192,#REF!,53,0),INDEX(VALUES!$B$1:$BQ$1,1,$AA192)))</f>
        <v/>
      </c>
    </row>
    <row r="193" spans="1:29" hidden="1" outlineLevel="1" x14ac:dyDescent="0.25">
      <c r="A193" s="22" t="s">
        <v>84</v>
      </c>
      <c r="B193" s="41" t="str">
        <f t="shared" si="15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9" t="s">
        <v>1182</v>
      </c>
      <c r="N193" s="53" t="s">
        <v>1184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X193" s="160"/>
      <c r="Y193" s="166"/>
      <c r="Z193" s="59" t="str">
        <f>IF(OR($M193="",NOT($O193="{array}")),"",IFERROR(MATCH(PARAMETERS!$M193,DEFAULT!$B$5:$CI$5,0),""))</f>
        <v/>
      </c>
      <c r="AA193" s="56" t="str">
        <f t="shared" si="16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IF($AA193="","",IF($B193="I",VLOOKUP($AA193,#REF!,53,0),INDEX(VALUES!$B$1:$BQ$1,1,$AA193)))</f>
        <v/>
      </c>
    </row>
    <row r="194" spans="1:29" hidden="1" outlineLevel="1" x14ac:dyDescent="0.25">
      <c r="A194" s="22" t="s">
        <v>84</v>
      </c>
      <c r="B194" s="41" t="str">
        <f t="shared" si="15"/>
        <v/>
      </c>
      <c r="C194" s="42">
        <f t="shared" si="12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638</v>
      </c>
      <c r="N194" s="14" t="s">
        <v>639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640</v>
      </c>
      <c r="W194" s="15" t="str">
        <f>IF(IFERROR(VLOOKUP($M194,#REF!,1,0),"-")="-","","GS")</f>
        <v/>
      </c>
      <c r="X194" s="160">
        <v>62</v>
      </c>
      <c r="Y194" s="166" t="s">
        <v>641</v>
      </c>
      <c r="Z194" s="59" t="str">
        <f>IF(OR($M194="",NOT($O194="{array}")),"",IFERROR(MATCH(PARAMETERS!$M194,DEFAULT!$B$5:$CI$5,0),""))</f>
        <v/>
      </c>
      <c r="AA194" s="56" t="str">
        <f t="shared" si="16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IF($AA194="","",IF($B194="I",VLOOKUP($AA194,#REF!,53,0),INDEX(VALUES!$B$1:$BQ$1,1,$AA194)))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2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632</v>
      </c>
      <c r="N195" s="14" t="s">
        <v>633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634</v>
      </c>
      <c r="W195" s="15" t="str">
        <f>IF(IFERROR(VLOOKUP($M195,#REF!,1,0),"-")="-","","GS")</f>
        <v/>
      </c>
      <c r="X195" s="160">
        <v>59</v>
      </c>
      <c r="Y195" s="166" t="s">
        <v>635</v>
      </c>
      <c r="Z195" s="59" t="str">
        <f>IF(OR($M195="",NOT($O195="{array}")),"",IFERROR(MATCH(PARAMETERS!$M195,DEFAULT!$B$5:$CI$5,0),""))</f>
        <v/>
      </c>
      <c r="AA195" s="56" t="str">
        <f t="shared" si="14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IF($AA195="","",IF($B195="I",VLOOKUP($AA195,#REF!,53,0),INDEX(VALUES!$B$1:$BQ$1,1,$AA195)))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2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1110</v>
      </c>
      <c r="N196" s="159" t="s">
        <v>1116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X196" s="160"/>
      <c r="Y196" s="166"/>
      <c r="Z196" s="59">
        <f>IF(OR($M196="",NOT($O196="{array}")),"",IFERROR(MATCH(PARAMETERS!$M196,DEFAULT!$B$5:$CI$5,0),""))</f>
        <v>69</v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IF($AA196="","",IF($B196="I",VLOOKUP($AA196,#REF!,53,0),INDEX(VALUES!$B$1:$BQ$1,1,$AA196)))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2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636</v>
      </c>
      <c r="N197" s="159" t="s">
        <v>637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X197" s="160"/>
      <c r="Y197" s="166"/>
      <c r="Z197" s="59" t="str">
        <f>IF(OR($M197="",NOT($O197="{array}")),"",IFERROR(MATCH(PARAMETERS!$M197,DEFAULT!$B$5:$CI$5,0),""))</f>
        <v/>
      </c>
      <c r="AA197" s="56" t="str">
        <f t="shared" si="14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IF($AA197="","",IF($B197="I",VLOOKUP($AA197,#REF!,53,0),INDEX(VALUES!$B$1:$BQ$1,1,$AA197)))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210" si="17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1100</v>
      </c>
      <c r="N198" s="159" t="s">
        <v>1101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X198" s="160"/>
      <c r="Y198" s="166"/>
      <c r="Z198" s="59" t="str">
        <f>IF(OR($M198="",NOT($O198="{array}")),"",IFERROR(MATCH(PARAMETERS!$M198,DEFAULT!$B$5:$CI$5,0),""))</f>
        <v/>
      </c>
      <c r="AA198" s="56" t="str">
        <f t="shared" si="14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IF($AA198="","",IF($B198="I",VLOOKUP($AA198,#REF!,53,0),INDEX(VALUES!$B$1:$BQ$1,1,$AA198)))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7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642</v>
      </c>
      <c r="N199" s="53" t="s">
        <v>643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Y199" s="53" t="s">
        <v>644</v>
      </c>
      <c r="Z199" s="59" t="str">
        <f>IF(OR($M199="",NOT($O199="{array}")),"",IFERROR(MATCH(PARAMETERS!$M199,DEFAULT!$B$5:$CI$5,0),""))</f>
        <v/>
      </c>
      <c r="AA199" s="56" t="str">
        <f t="shared" si="14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IF($AA199="","",IF($B199="I",VLOOKUP($AA199,#REF!,53,0),INDEX(VALUES!$B$1:$BQ$1,1,$AA199)))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7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645</v>
      </c>
      <c r="N200" s="53" t="s">
        <v>646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Y200" s="53" t="s">
        <v>644</v>
      </c>
      <c r="Z200" s="59" t="str">
        <f>IF(OR($M200="",NOT($O200="{array}")),"",IFERROR(MATCH(PARAMETERS!$M200,DEFAULT!$B$5:$CI$5,0),""))</f>
        <v/>
      </c>
      <c r="AA200" s="56" t="str">
        <f t="shared" si="14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IF($AA200="","",IF($B200="I",VLOOKUP($AA200,#REF!,53,0),INDEX(VALUES!$B$1:$BQ$1,1,$AA200)))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7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648</v>
      </c>
      <c r="N201" s="14" t="s">
        <v>649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>IF($M201="","",IFERROR(MATCH($M201,VALUESnames,0),""))</f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IF($AA201="","",IF($B201="I",VLOOKUP($AA201,#REF!,53,0),INDEX(VALUES!$B$1:$BQ$1,1,$AA201)))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7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652</v>
      </c>
      <c r="N202" s="14" t="s">
        <v>653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>IF($M202="","",IFERROR(MATCH($M202,VALUESnames,0),""))</f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IF($AA202="","",IF($B202="I",VLOOKUP($AA202,#REF!,53,0),INDEX(VALUES!$B$1:$BQ$1,1,$AA202)))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7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650</v>
      </c>
      <c r="N203" s="14" t="s">
        <v>651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IF($AA203="","",IF($B203="I",VLOOKUP($AA203,#REF!,53,0),INDEX(VALUES!$B$1:$BQ$1,1,$AA203)))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7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654</v>
      </c>
      <c r="N204" s="14" t="s">
        <v>655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9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IF($AA204="","",IF($B204="I",VLOOKUP($AA204,#REF!,53,0),INDEX(VALUES!$B$1:$BQ$1,1,$AA204)))</f>
        <v/>
      </c>
    </row>
    <row r="205" spans="1:29" collapsed="1" x14ac:dyDescent="0.3">
      <c r="A205" s="22" t="s">
        <v>84</v>
      </c>
      <c r="B205" s="41" t="str">
        <f t="shared" ref="B205:B207" si="18">IF($A205="P",IF(NOT($Z205=""),"A",IF(NOT($AA205=""),"I","")),IF(NOT($Z205=""),"A",IF(NOT($AA205=""),IF($A205="G","V","X"),"")))</f>
        <v/>
      </c>
      <c r="C205" s="42">
        <f t="shared" si="17"/>
        <v>204</v>
      </c>
      <c r="D205" s="38"/>
      <c r="E205" s="38"/>
      <c r="F205" s="38"/>
      <c r="G205" s="38"/>
      <c r="H205" s="38"/>
      <c r="I205" s="38"/>
      <c r="J205" s="38"/>
      <c r="K205" s="14" t="s">
        <v>57</v>
      </c>
      <c r="L205" s="14" t="s">
        <v>38</v>
      </c>
      <c r="M205" s="48" t="s">
        <v>1325</v>
      </c>
      <c r="N205" s="41" t="s">
        <v>1326</v>
      </c>
      <c r="R205" s="38" t="s">
        <v>103</v>
      </c>
      <c r="S205" s="38"/>
    </row>
    <row r="206" spans="1:29" hidden="1" outlineLevel="1" x14ac:dyDescent="0.3">
      <c r="A206" s="22" t="s">
        <v>84</v>
      </c>
      <c r="B206" s="41" t="str">
        <f t="shared" si="18"/>
        <v/>
      </c>
      <c r="C206" s="42">
        <f t="shared" si="17"/>
        <v>205</v>
      </c>
      <c r="D206" s="38"/>
      <c r="E206" s="38"/>
      <c r="F206" s="38"/>
      <c r="G206" s="38"/>
      <c r="H206" s="38"/>
      <c r="I206" s="38" t="s">
        <v>9</v>
      </c>
      <c r="J206" s="38"/>
      <c r="K206" s="53" t="s">
        <v>18</v>
      </c>
      <c r="L206" s="53" t="s">
        <v>32</v>
      </c>
      <c r="M206" s="243" t="s">
        <v>1327</v>
      </c>
      <c r="N206" s="53" t="s">
        <v>1328</v>
      </c>
      <c r="O206" s="17" t="s">
        <v>1329</v>
      </c>
      <c r="R206" s="171" t="s">
        <v>103</v>
      </c>
      <c r="S206" s="171" t="s">
        <v>112</v>
      </c>
    </row>
    <row r="207" spans="1:29" hidden="1" outlineLevel="1" x14ac:dyDescent="0.3">
      <c r="A207" s="22" t="s">
        <v>84</v>
      </c>
      <c r="B207" s="41" t="str">
        <f t="shared" si="18"/>
        <v/>
      </c>
      <c r="C207" s="42">
        <f t="shared" si="17"/>
        <v>206</v>
      </c>
      <c r="D207" s="38"/>
      <c r="E207" s="38"/>
      <c r="F207" s="38"/>
      <c r="G207" s="38"/>
      <c r="H207" s="38"/>
      <c r="I207" s="38" t="s">
        <v>9</v>
      </c>
      <c r="J207" s="38"/>
      <c r="K207" s="53" t="s">
        <v>18</v>
      </c>
      <c r="L207" s="53" t="s">
        <v>32</v>
      </c>
      <c r="M207" s="243" t="s">
        <v>1330</v>
      </c>
      <c r="N207" s="53" t="s">
        <v>1331</v>
      </c>
      <c r="O207" s="17" t="s">
        <v>84</v>
      </c>
      <c r="R207" s="171" t="s">
        <v>103</v>
      </c>
      <c r="S207" s="171" t="s">
        <v>112</v>
      </c>
    </row>
    <row r="208" spans="1:29" hidden="1" outlineLevel="1" x14ac:dyDescent="0.3">
      <c r="A208" s="22" t="s">
        <v>84</v>
      </c>
      <c r="B208" s="41" t="str">
        <f t="shared" ref="B208:B210" si="19">IF($A208="P",IF(NOT($Z208=""),"A",IF(NOT($AA208=""),"I","")),IF(NOT($AA208=""),IF($A208="G","V","X"),IF(NOT($Z208=""),"A","")))</f>
        <v/>
      </c>
      <c r="C208" s="42">
        <f t="shared" si="17"/>
        <v>207</v>
      </c>
      <c r="D208" s="38"/>
      <c r="E208" s="38"/>
      <c r="F208" s="38"/>
      <c r="G208" s="38"/>
      <c r="H208" s="38"/>
      <c r="I208" s="38" t="s">
        <v>9</v>
      </c>
      <c r="J208" s="38"/>
      <c r="K208" s="159" t="s">
        <v>18</v>
      </c>
      <c r="L208" s="167" t="s">
        <v>21</v>
      </c>
      <c r="M208" s="243" t="s">
        <v>1332</v>
      </c>
      <c r="N208" s="159" t="s">
        <v>1333</v>
      </c>
      <c r="O208" s="166" t="s">
        <v>1334</v>
      </c>
      <c r="P208" s="160" t="s">
        <v>264</v>
      </c>
      <c r="Q208" s="178"/>
      <c r="R208" s="171" t="s">
        <v>103</v>
      </c>
      <c r="S208" s="171" t="s">
        <v>112</v>
      </c>
    </row>
    <row r="209" spans="1:29" hidden="1" outlineLevel="1" x14ac:dyDescent="0.3">
      <c r="A209" s="22" t="s">
        <v>84</v>
      </c>
      <c r="B209" s="41" t="str">
        <f t="shared" si="19"/>
        <v/>
      </c>
      <c r="C209" s="42">
        <f t="shared" si="17"/>
        <v>208</v>
      </c>
      <c r="D209" s="38"/>
      <c r="E209" s="38"/>
      <c r="F209" s="38"/>
      <c r="G209" s="38"/>
      <c r="H209" s="38"/>
      <c r="I209" s="38" t="s">
        <v>9</v>
      </c>
      <c r="J209" s="38"/>
      <c r="K209" s="159" t="s">
        <v>44</v>
      </c>
      <c r="L209" s="167" t="s">
        <v>21</v>
      </c>
      <c r="M209" s="243" t="s">
        <v>1335</v>
      </c>
      <c r="N209" s="166" t="s">
        <v>1336</v>
      </c>
      <c r="O209" s="166">
        <v>0</v>
      </c>
      <c r="P209" s="160" t="s">
        <v>264</v>
      </c>
      <c r="Q209" s="178"/>
      <c r="R209" s="171" t="s">
        <v>195</v>
      </c>
      <c r="S209" s="171" t="s">
        <v>112</v>
      </c>
    </row>
    <row r="210" spans="1:29" hidden="1" outlineLevel="1" x14ac:dyDescent="0.3">
      <c r="A210" s="22" t="s">
        <v>84</v>
      </c>
      <c r="B210" s="41" t="str">
        <f t="shared" si="19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159" t="s">
        <v>18</v>
      </c>
      <c r="L210" s="167" t="s">
        <v>21</v>
      </c>
      <c r="M210" s="243" t="s">
        <v>1337</v>
      </c>
      <c r="N210" s="166" t="s">
        <v>1338</v>
      </c>
      <c r="O210" s="166" t="s">
        <v>1339</v>
      </c>
      <c r="P210" s="160" t="s">
        <v>264</v>
      </c>
      <c r="Q210" s="178" t="s">
        <v>9</v>
      </c>
      <c r="R210" s="171" t="s">
        <v>103</v>
      </c>
      <c r="S210" s="171" t="s">
        <v>112</v>
      </c>
    </row>
    <row r="211" spans="1:29" collapsed="1" x14ac:dyDescent="0.3">
      <c r="A211" s="22" t="s">
        <v>84</v>
      </c>
      <c r="B211" s="41" t="str">
        <f t="shared" ref="B211:B250" si="20">IF($A211="P",IF(NOT($Z211=""),"A",IF(NOT($AA211=""),"I","")),IF(NOT($AA211=""),IF($A211="G","V","X"),IF(NOT($Z211=""),"A","")))</f>
        <v/>
      </c>
      <c r="C211" s="42">
        <f t="shared" ref="C211:C230" si="21">(ROW()-1)</f>
        <v>210</v>
      </c>
      <c r="D211" s="38"/>
      <c r="E211" s="38"/>
      <c r="F211" s="38"/>
      <c r="G211" s="38"/>
      <c r="H211" s="38"/>
      <c r="I211" s="38"/>
      <c r="J211" s="38"/>
      <c r="K211" s="14" t="s">
        <v>57</v>
      </c>
      <c r="L211" s="14" t="s">
        <v>38</v>
      </c>
      <c r="M211" s="48" t="s">
        <v>657</v>
      </c>
      <c r="N211" s="41" t="s">
        <v>658</v>
      </c>
      <c r="R211" s="38" t="s">
        <v>103</v>
      </c>
      <c r="S211" s="38"/>
      <c r="T211" s="38"/>
      <c r="W211" s="15" t="str">
        <f>IF(IFERROR(VLOOKUP($M211,#REF!,1,0),"-")="-","","GS")</f>
        <v/>
      </c>
      <c r="Z211" s="59" t="str">
        <f>IF(OR($M211="",NOT($O211="{array}")),"",IFERROR(MATCH(PARAMETERS!$M211,DEFAULT!$B$5:$CI$5,0),""))</f>
        <v/>
      </c>
      <c r="AA211" s="56" t="str">
        <f t="shared" ref="AA211:AA260" si="22">IF($M211="","",IFERROR(MATCH($M211,VALUESnames,0),""))</f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IF($AA211="","",IF($B211="I",VLOOKUP($AA211,#REF!,53,0),INDEX(VALUES!$B$1:$BQ$1,1,$AA211)))</f>
        <v/>
      </c>
    </row>
    <row r="212" spans="1:29" hidden="1" outlineLevel="1" x14ac:dyDescent="0.3">
      <c r="A212" s="22" t="s">
        <v>84</v>
      </c>
      <c r="B212" s="41" t="str">
        <f t="shared" si="20"/>
        <v>V</v>
      </c>
      <c r="C212" s="42">
        <f t="shared" si="21"/>
        <v>211</v>
      </c>
      <c r="D212" s="38"/>
      <c r="E212" s="38"/>
      <c r="F212" s="38"/>
      <c r="G212" s="38"/>
      <c r="H212" s="38"/>
      <c r="I212" s="38" t="s">
        <v>9</v>
      </c>
      <c r="J212" s="38"/>
      <c r="K212" s="159" t="s">
        <v>18</v>
      </c>
      <c r="L212" s="167" t="s">
        <v>21</v>
      </c>
      <c r="M212" s="243" t="s">
        <v>1228</v>
      </c>
      <c r="N212" s="166" t="s">
        <v>659</v>
      </c>
      <c r="O212" s="166" t="s">
        <v>34</v>
      </c>
      <c r="P212" s="160" t="s">
        <v>264</v>
      </c>
      <c r="Q212" s="171"/>
      <c r="R212" s="171" t="s">
        <v>103</v>
      </c>
      <c r="S212" s="171" t="s">
        <v>112</v>
      </c>
      <c r="T212" s="166" t="s">
        <v>264</v>
      </c>
      <c r="U212" s="166" t="s">
        <v>264</v>
      </c>
      <c r="V212" s="166" t="s">
        <v>659</v>
      </c>
      <c r="W212" s="15" t="str">
        <f>IF(IFERROR(VLOOKUP($M212,#REF!,1,0),"-")="-","","GS")</f>
        <v/>
      </c>
      <c r="X212" s="160" t="s">
        <v>264</v>
      </c>
      <c r="Y212" s="166" t="s">
        <v>660</v>
      </c>
      <c r="Z212" s="59" t="str">
        <f>IF(OR($M212="",NOT($O212="{array}")),"",IFERROR(MATCH(PARAMETERS!$M212,DEFAULT!$B$5:$CI$5,0),""))</f>
        <v/>
      </c>
      <c r="AA212" s="56">
        <f t="shared" si="22"/>
        <v>1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IF($AA212="","",IF($B212="I",VLOOKUP($AA212,#REF!,53,0),INDEX(VALUES!$B$1:$BQ$1,1,$AA212)))</f>
        <v>O2 | O3 | E2 | E3 | KO2 | KO3 | P | F | ...</v>
      </c>
    </row>
    <row r="213" spans="1:29" hidden="1" outlineLevel="1" x14ac:dyDescent="0.3">
      <c r="A213" s="22" t="s">
        <v>84</v>
      </c>
      <c r="B213" s="41" t="str">
        <f t="shared" si="20"/>
        <v/>
      </c>
      <c r="C213" s="42">
        <f t="shared" si="21"/>
        <v>212</v>
      </c>
      <c r="D213" s="38"/>
      <c r="E213" s="38"/>
      <c r="F213" s="38"/>
      <c r="G213" s="38"/>
      <c r="H213" s="38"/>
      <c r="I213" s="38" t="s">
        <v>9</v>
      </c>
      <c r="J213" s="38"/>
      <c r="K213" s="159" t="s">
        <v>18</v>
      </c>
      <c r="L213" s="167" t="s">
        <v>21</v>
      </c>
      <c r="M213" s="243" t="s">
        <v>1226</v>
      </c>
      <c r="N213" s="159" t="s">
        <v>1225</v>
      </c>
      <c r="O213" s="166" t="s">
        <v>264</v>
      </c>
      <c r="P213" s="160" t="s">
        <v>264</v>
      </c>
      <c r="Q213" s="178" t="s">
        <v>9</v>
      </c>
      <c r="R213" s="171" t="s">
        <v>103</v>
      </c>
      <c r="S213" s="171" t="s">
        <v>112</v>
      </c>
      <c r="T213" s="166" t="s">
        <v>264</v>
      </c>
      <c r="U213" s="166" t="s">
        <v>264</v>
      </c>
      <c r="V213" s="166"/>
      <c r="W213" s="15" t="str">
        <f>IF(IFERROR(VLOOKUP($M213,#REF!,1,0),"-")="-","","GS")</f>
        <v/>
      </c>
      <c r="X213" s="160" t="s">
        <v>264</v>
      </c>
      <c r="Y213" s="166" t="s">
        <v>264</v>
      </c>
      <c r="Z213" s="59" t="str">
        <f>IF(OR($M213="",NOT($O213="{array}")),"",IFERROR(MATCH(PARAMETERS!$M213,DEFAULT!$B$5:$CI$5,0),""))</f>
        <v/>
      </c>
      <c r="AA213" s="56" t="str">
        <f t="shared" si="2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IF($AA213="","",IF($B213="I",VLOOKUP($AA213,#REF!,53,0),INDEX(VALUES!$B$1:$BQ$1,1,$AA213)))</f>
        <v/>
      </c>
    </row>
    <row r="214" spans="1:29" hidden="1" outlineLevel="1" x14ac:dyDescent="0.3">
      <c r="A214" s="22" t="s">
        <v>84</v>
      </c>
      <c r="B214" s="41" t="str">
        <f t="shared" si="20"/>
        <v/>
      </c>
      <c r="C214" s="42">
        <f t="shared" si="21"/>
        <v>213</v>
      </c>
      <c r="D214" s="38"/>
      <c r="E214" s="38"/>
      <c r="F214" s="38"/>
      <c r="G214" s="38"/>
      <c r="H214" s="38"/>
      <c r="I214" s="38" t="s">
        <v>9</v>
      </c>
      <c r="J214" s="38"/>
      <c r="K214" s="159" t="s">
        <v>18</v>
      </c>
      <c r="L214" s="167" t="s">
        <v>21</v>
      </c>
      <c r="M214" s="243" t="s">
        <v>1227</v>
      </c>
      <c r="N214" s="166" t="s">
        <v>672</v>
      </c>
      <c r="O214" s="166" t="s">
        <v>264</v>
      </c>
      <c r="P214" s="160" t="s">
        <v>264</v>
      </c>
      <c r="Q214" s="178" t="s">
        <v>9</v>
      </c>
      <c r="R214" s="171" t="s">
        <v>103</v>
      </c>
      <c r="S214" s="171" t="s">
        <v>112</v>
      </c>
      <c r="T214" s="166" t="s">
        <v>264</v>
      </c>
      <c r="U214" s="166" t="s">
        <v>264</v>
      </c>
      <c r="V214" s="166" t="s">
        <v>672</v>
      </c>
      <c r="W214" s="15" t="str">
        <f>IF(IFERROR(VLOOKUP($M214,#REF!,1,0),"-")="-","","GS")</f>
        <v/>
      </c>
      <c r="X214" s="160" t="s">
        <v>264</v>
      </c>
      <c r="Y214" s="166" t="s">
        <v>264</v>
      </c>
      <c r="Z214" s="59" t="str">
        <f>IF(OR($M214="",NOT($O214="{array}")),"",IFERROR(MATCH(PARAMETERS!$M214,DEFAULT!$B$5:$CI$5,0),""))</f>
        <v/>
      </c>
      <c r="AA214" s="56" t="str">
        <f t="shared" si="2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IF($AA214="","",IF($B214="I",VLOOKUP($AA214,#REF!,53,0),INDEX(VALUES!$B$1:$BQ$1,1,$AA214)))</f>
        <v/>
      </c>
    </row>
    <row r="215" spans="1:29" hidden="1" outlineLevel="1" x14ac:dyDescent="0.3">
      <c r="A215" s="22" t="s">
        <v>84</v>
      </c>
      <c r="B215" s="41" t="str">
        <f t="shared" si="20"/>
        <v>V</v>
      </c>
      <c r="C215" s="42">
        <f t="shared" si="21"/>
        <v>214</v>
      </c>
      <c r="D215" s="38"/>
      <c r="E215" s="38"/>
      <c r="F215" s="38"/>
      <c r="G215" s="38"/>
      <c r="H215" s="38"/>
      <c r="I215" s="38" t="s">
        <v>9</v>
      </c>
      <c r="J215" s="38"/>
      <c r="K215" s="159" t="s">
        <v>18</v>
      </c>
      <c r="L215" s="167" t="s">
        <v>21</v>
      </c>
      <c r="M215" s="243" t="s">
        <v>1286</v>
      </c>
      <c r="N215" s="166" t="s">
        <v>1287</v>
      </c>
      <c r="O215" s="166" t="s">
        <v>264</v>
      </c>
      <c r="P215" s="160" t="s">
        <v>264</v>
      </c>
      <c r="Q215" s="178" t="s">
        <v>9</v>
      </c>
      <c r="R215" s="171" t="s">
        <v>103</v>
      </c>
      <c r="S215" s="171" t="s">
        <v>112</v>
      </c>
      <c r="T215" s="166" t="s">
        <v>264</v>
      </c>
      <c r="U215" s="166" t="s">
        <v>264</v>
      </c>
      <c r="V215" s="166"/>
      <c r="W215" s="15"/>
      <c r="X215" s="160"/>
      <c r="Y215" s="166"/>
      <c r="Z215" s="59" t="str">
        <f>IF(OR($M215="",NOT($O215="{array}")),"",IFERROR(MATCH(PARAMETERS!$M215,DEFAULT!$B$5:$CI$5,0),""))</f>
        <v/>
      </c>
      <c r="AA215" s="56">
        <f t="shared" si="22"/>
        <v>3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IF($AA215="","",IF($B215="I",VLOOKUP($AA215,#REF!,53,0),INDEX(VALUES!$B$1:$BQ$1,1,$AA215)))</f>
        <v>eingebohrt | aufgeschraubt | eingestemmt | angeschweißt | Bandaufnahme</v>
      </c>
    </row>
    <row r="216" spans="1:29" hidden="1" outlineLevel="1" x14ac:dyDescent="0.3">
      <c r="A216" s="22" t="s">
        <v>84</v>
      </c>
      <c r="B216" s="41" t="str">
        <f t="shared" si="20"/>
        <v>V</v>
      </c>
      <c r="C216" s="42">
        <f t="shared" si="21"/>
        <v>215</v>
      </c>
      <c r="D216" s="38"/>
      <c r="E216" s="38"/>
      <c r="F216" s="38"/>
      <c r="G216" s="38"/>
      <c r="H216" s="38"/>
      <c r="I216" s="38" t="s">
        <v>9</v>
      </c>
      <c r="J216" s="38"/>
      <c r="K216" s="159" t="s">
        <v>18</v>
      </c>
      <c r="L216" s="167" t="s">
        <v>21</v>
      </c>
      <c r="M216" s="243" t="s">
        <v>1230</v>
      </c>
      <c r="N216" s="166" t="s">
        <v>661</v>
      </c>
      <c r="O216" s="166" t="s">
        <v>1255</v>
      </c>
      <c r="P216" s="160" t="s">
        <v>264</v>
      </c>
      <c r="Q216" s="178" t="s">
        <v>9</v>
      </c>
      <c r="R216" s="171" t="s">
        <v>103</v>
      </c>
      <c r="S216" s="171" t="s">
        <v>112</v>
      </c>
      <c r="T216" s="166" t="s">
        <v>264</v>
      </c>
      <c r="U216" s="166" t="s">
        <v>264</v>
      </c>
      <c r="V216" s="166" t="s">
        <v>661</v>
      </c>
      <c r="W216" s="15" t="str">
        <f>IF(IFERROR(VLOOKUP($M216,#REF!,1,0),"-")="-","","GS")</f>
        <v/>
      </c>
      <c r="X216" s="160" t="s">
        <v>264</v>
      </c>
      <c r="Y216" s="166" t="s">
        <v>662</v>
      </c>
      <c r="Z216" s="59" t="str">
        <f>IF(OR($M216="",NOT($O216="{array}")),"",IFERROR(MATCH(PARAMETERS!$M216,DEFAULT!$B$5:$CI$5,0),""))</f>
        <v/>
      </c>
      <c r="AA216" s="56">
        <f t="shared" si="22"/>
        <v>4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IF($AA216="","",IF($B216="I",VLOOKUP($AA216,#REF!,53,0),INDEX(VALUES!$B$1:$BQ$1,1,$AA216)))</f>
        <v xml:space="preserve">  | ST | ES | AL | XX</v>
      </c>
    </row>
    <row r="217" spans="1:29" hidden="1" outlineLevel="1" x14ac:dyDescent="0.3">
      <c r="A217" s="22" t="s">
        <v>84</v>
      </c>
      <c r="B217" s="41" t="str">
        <f t="shared" si="20"/>
        <v>V</v>
      </c>
      <c r="C217" s="42">
        <f t="shared" si="21"/>
        <v>216</v>
      </c>
      <c r="D217" s="38"/>
      <c r="E217" s="38"/>
      <c r="F217" s="38"/>
      <c r="G217" s="38"/>
      <c r="H217" s="38"/>
      <c r="I217" s="38" t="s">
        <v>9</v>
      </c>
      <c r="J217" s="38"/>
      <c r="K217" s="159" t="s">
        <v>18</v>
      </c>
      <c r="L217" s="167" t="s">
        <v>21</v>
      </c>
      <c r="M217" s="243" t="s">
        <v>1234</v>
      </c>
      <c r="N217" s="159" t="s">
        <v>669</v>
      </c>
      <c r="O217" s="166" t="s">
        <v>264</v>
      </c>
      <c r="P217" s="160" t="s">
        <v>264</v>
      </c>
      <c r="Q217" s="178" t="s">
        <v>9</v>
      </c>
      <c r="R217" s="171" t="s">
        <v>103</v>
      </c>
      <c r="S217" s="171" t="s">
        <v>112</v>
      </c>
      <c r="T217" s="166" t="s">
        <v>264</v>
      </c>
      <c r="U217" s="166" t="s">
        <v>264</v>
      </c>
      <c r="V217" s="166"/>
      <c r="W217" s="15"/>
      <c r="X217" s="160"/>
      <c r="Y217" s="166"/>
      <c r="Z217" s="59" t="str">
        <f>IF(OR($M217="",NOT($O217="{array}")),"",IFERROR(MATCH(PARAMETERS!$M217,DEFAULT!$B$5:$CI$5,0),""))</f>
        <v/>
      </c>
      <c r="AA217" s="56">
        <f t="shared" si="22"/>
        <v>6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IF($AA217="","",IF($B217="I",VLOOKUP($AA217,#REF!,53,0),INDEX(VALUES!$B$1:$BQ$1,1,$AA217)))</f>
        <v xml:space="preserve">  | - | B | S | T | P | N | L | ...</v>
      </c>
    </row>
    <row r="218" spans="1:29" hidden="1" outlineLevel="1" x14ac:dyDescent="0.3">
      <c r="A218" s="22" t="s">
        <v>84</v>
      </c>
      <c r="B218" s="41" t="str">
        <f t="shared" si="20"/>
        <v>V</v>
      </c>
      <c r="C218" s="42">
        <f t="shared" si="21"/>
        <v>217</v>
      </c>
      <c r="D218" s="38"/>
      <c r="E218" s="38"/>
      <c r="F218" s="38"/>
      <c r="G218" s="38"/>
      <c r="H218" s="38"/>
      <c r="I218" s="38" t="s">
        <v>9</v>
      </c>
      <c r="J218" s="38"/>
      <c r="K218" s="159" t="s">
        <v>18</v>
      </c>
      <c r="L218" s="167" t="s">
        <v>21</v>
      </c>
      <c r="M218" s="232" t="s">
        <v>1231</v>
      </c>
      <c r="N218" s="166" t="s">
        <v>663</v>
      </c>
      <c r="O218" s="166" t="s">
        <v>1270</v>
      </c>
      <c r="P218" s="160" t="s">
        <v>264</v>
      </c>
      <c r="Q218" s="178"/>
      <c r="R218" s="171" t="s">
        <v>103</v>
      </c>
      <c r="S218" s="171" t="s">
        <v>112</v>
      </c>
      <c r="T218" s="166" t="s">
        <v>264</v>
      </c>
      <c r="U218" s="166" t="s">
        <v>264</v>
      </c>
      <c r="V218" s="166" t="s">
        <v>663</v>
      </c>
      <c r="W218" s="15" t="str">
        <f>IF(IFERROR(VLOOKUP($M218,#REF!,1,0),"-")="-","","GS")</f>
        <v/>
      </c>
      <c r="X218" s="160" t="s">
        <v>264</v>
      </c>
      <c r="Y218" s="166" t="s">
        <v>664</v>
      </c>
      <c r="Z218" s="59" t="str">
        <f>IF(OR($M218="",NOT($O218="{array}")),"",IFERROR(MATCH(PARAMETERS!$M218,DEFAULT!$B$5:$CI$5,0),""))</f>
        <v/>
      </c>
      <c r="AA218" s="56">
        <f t="shared" si="22"/>
        <v>8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IF($AA218="","",IF($B218="I",VLOOKUP($AA218,#REF!,53,0),INDEX(VALUES!$B$1:$BQ$1,1,$AA218)))</f>
        <v>- | 2D | 3D</v>
      </c>
    </row>
    <row r="219" spans="1:29" hidden="1" outlineLevel="1" x14ac:dyDescent="0.3">
      <c r="A219" s="22" t="s">
        <v>84</v>
      </c>
      <c r="B219" s="41" t="str">
        <f t="shared" si="20"/>
        <v>V</v>
      </c>
      <c r="C219" s="42">
        <f t="shared" si="21"/>
        <v>218</v>
      </c>
      <c r="D219" s="38"/>
      <c r="E219" s="38"/>
      <c r="F219" s="38"/>
      <c r="G219" s="38"/>
      <c r="H219" s="38"/>
      <c r="I219" s="38" t="s">
        <v>9</v>
      </c>
      <c r="J219" s="38"/>
      <c r="K219" s="159" t="s">
        <v>44</v>
      </c>
      <c r="L219" s="53" t="s">
        <v>27</v>
      </c>
      <c r="M219" s="232" t="s">
        <v>1232</v>
      </c>
      <c r="N219" s="166" t="s">
        <v>665</v>
      </c>
      <c r="O219" s="166">
        <v>2</v>
      </c>
      <c r="P219" s="160" t="s">
        <v>264</v>
      </c>
      <c r="Q219" s="178"/>
      <c r="R219" s="171" t="s">
        <v>103</v>
      </c>
      <c r="S219" s="171" t="s">
        <v>112</v>
      </c>
      <c r="T219" s="166" t="s">
        <v>264</v>
      </c>
      <c r="U219" s="166" t="s">
        <v>264</v>
      </c>
      <c r="V219" s="166" t="s">
        <v>665</v>
      </c>
      <c r="W219" s="15" t="str">
        <f>IF(IFERROR(VLOOKUP($M219,#REF!,1,0),"-")="-","","GS")</f>
        <v/>
      </c>
      <c r="X219" s="160" t="s">
        <v>264</v>
      </c>
      <c r="Y219" s="166" t="s">
        <v>666</v>
      </c>
      <c r="Z219" s="59" t="str">
        <f>IF(OR($M219="",NOT($O219="{array}")),"",IFERROR(MATCH(PARAMETERS!$M219,DEFAULT!$B$5:$CI$5,0),""))</f>
        <v/>
      </c>
      <c r="AA219" s="56">
        <f t="shared" si="22"/>
        <v>9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IF($AA219="","",IF($B219="I",VLOOKUP($AA219,#REF!,53,0),INDEX(VALUES!$B$1:$BQ$1,1,$AA219)))</f>
        <v>2 | 3 | 4</v>
      </c>
    </row>
    <row r="220" spans="1:29" hidden="1" outlineLevel="1" x14ac:dyDescent="0.3">
      <c r="A220" s="22" t="s">
        <v>84</v>
      </c>
      <c r="B220" s="41" t="str">
        <f t="shared" si="20"/>
        <v>V</v>
      </c>
      <c r="C220" s="42">
        <f t="shared" si="21"/>
        <v>219</v>
      </c>
      <c r="D220" s="38"/>
      <c r="E220" s="38"/>
      <c r="F220" s="38"/>
      <c r="G220" s="38"/>
      <c r="H220" s="38"/>
      <c r="I220" s="38" t="s">
        <v>9</v>
      </c>
      <c r="J220" s="38"/>
      <c r="K220" s="159" t="s">
        <v>24</v>
      </c>
      <c r="L220" s="53" t="s">
        <v>27</v>
      </c>
      <c r="M220" s="232" t="s">
        <v>1233</v>
      </c>
      <c r="N220" s="166" t="s">
        <v>1229</v>
      </c>
      <c r="O220" s="166">
        <v>0.02</v>
      </c>
      <c r="P220" s="160" t="s">
        <v>264</v>
      </c>
      <c r="Q220" s="178" t="s">
        <v>9</v>
      </c>
      <c r="R220" s="171" t="s">
        <v>103</v>
      </c>
      <c r="S220" s="171" t="s">
        <v>112</v>
      </c>
      <c r="T220" s="166" t="s">
        <v>264</v>
      </c>
      <c r="U220" s="166" t="s">
        <v>264</v>
      </c>
      <c r="V220" s="166"/>
      <c r="W220" s="15"/>
      <c r="X220" s="160"/>
      <c r="Y220" s="166"/>
      <c r="Z220" s="59" t="str">
        <f>IF(OR($M220="",NOT($O220="{array}")),"",IFERROR(MATCH(PARAMETERS!$M220,DEFAULT!$B$5:$CI$5,0),""))</f>
        <v/>
      </c>
      <c r="AA220" s="56">
        <f t="shared" si="22"/>
        <v>10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IF($AA220="","",IF($B220="I",VLOOKUP($AA220,#REF!,53,0),INDEX(VALUES!$B$1:$BQ$1,1,$AA220)))</f>
        <v>0,035</v>
      </c>
    </row>
    <row r="221" spans="1:29" hidden="1" outlineLevel="1" x14ac:dyDescent="0.3">
      <c r="A221" s="22" t="s">
        <v>84</v>
      </c>
      <c r="B221" s="41" t="str">
        <f t="shared" si="20"/>
        <v>V</v>
      </c>
      <c r="C221" s="42">
        <f t="shared" si="21"/>
        <v>220</v>
      </c>
      <c r="D221" s="38"/>
      <c r="E221" s="38"/>
      <c r="F221" s="38"/>
      <c r="G221" s="38"/>
      <c r="H221" s="38"/>
      <c r="I221" s="38" t="s">
        <v>9</v>
      </c>
      <c r="J221" s="38"/>
      <c r="K221" s="159" t="s">
        <v>24</v>
      </c>
      <c r="L221" s="53" t="s">
        <v>27</v>
      </c>
      <c r="M221" s="243" t="s">
        <v>1283</v>
      </c>
      <c r="N221" s="159" t="s">
        <v>1271</v>
      </c>
      <c r="O221" s="166">
        <v>0.35</v>
      </c>
      <c r="P221" s="160" t="s">
        <v>264</v>
      </c>
      <c r="Q221" s="178" t="s">
        <v>9</v>
      </c>
      <c r="R221" s="171" t="s">
        <v>103</v>
      </c>
      <c r="S221" s="171" t="s">
        <v>112</v>
      </c>
      <c r="T221" s="166" t="s">
        <v>264</v>
      </c>
      <c r="U221" s="166" t="s">
        <v>264</v>
      </c>
      <c r="X221" s="14"/>
      <c r="Z221" s="59" t="str">
        <f>IF(OR($M221="",NOT($O221="{array}")),"",IFERROR(MATCH(PARAMETERS!$M221,DEFAULT!$B$5:$CI$5,0),""))</f>
        <v/>
      </c>
      <c r="AA221" s="56">
        <f t="shared" si="22"/>
        <v>16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IF($AA221="","",IF($B221="I",VLOOKUP($AA221,#REF!,53,0),INDEX(VALUES!$B$1:$BQ$1,1,$AA221)))</f>
        <v>0,35</v>
      </c>
    </row>
    <row r="222" spans="1:29" hidden="1" outlineLevel="1" x14ac:dyDescent="0.3">
      <c r="A222" s="22" t="s">
        <v>84</v>
      </c>
      <c r="B222" s="41" t="str">
        <f t="shared" si="20"/>
        <v>V</v>
      </c>
      <c r="C222" s="42">
        <f t="shared" si="21"/>
        <v>221</v>
      </c>
      <c r="D222" s="38"/>
      <c r="E222" s="38"/>
      <c r="F222" s="38"/>
      <c r="G222" s="38"/>
      <c r="H222" s="38"/>
      <c r="I222" s="38" t="s">
        <v>9</v>
      </c>
      <c r="J222" s="38"/>
      <c r="K222" s="159" t="s">
        <v>24</v>
      </c>
      <c r="L222" s="53" t="s">
        <v>27</v>
      </c>
      <c r="M222" s="243" t="s">
        <v>1284</v>
      </c>
      <c r="N222" s="159" t="s">
        <v>1285</v>
      </c>
      <c r="O222" s="166">
        <v>0.35</v>
      </c>
      <c r="P222" s="160" t="s">
        <v>264</v>
      </c>
      <c r="Q222" s="178" t="s">
        <v>9</v>
      </c>
      <c r="R222" s="171" t="s">
        <v>103</v>
      </c>
      <c r="S222" s="171" t="s">
        <v>112</v>
      </c>
      <c r="T222" s="166" t="s">
        <v>264</v>
      </c>
      <c r="U222" s="166" t="s">
        <v>264</v>
      </c>
      <c r="X222" s="14"/>
      <c r="Z222" s="59" t="str">
        <f>IF(OR($M222="",NOT($O222="{array}")),"",IFERROR(MATCH(PARAMETERS!$M222,DEFAULT!$B$5:$CI$5,0),""))</f>
        <v/>
      </c>
      <c r="AA222" s="56">
        <f t="shared" si="22"/>
        <v>17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IF($AA222="","",IF($B222="I",VLOOKUP($AA222,#REF!,53,0),INDEX(VALUES!$B$1:$BQ$1,1,$AA222)))</f>
        <v>0,35</v>
      </c>
    </row>
    <row r="223" spans="1:29" hidden="1" outlineLevel="1" x14ac:dyDescent="0.3">
      <c r="A223" s="22" t="s">
        <v>84</v>
      </c>
      <c r="B223" s="41" t="str">
        <f t="shared" si="20"/>
        <v>V</v>
      </c>
      <c r="C223" s="42">
        <f t="shared" si="21"/>
        <v>222</v>
      </c>
      <c r="D223" s="38"/>
      <c r="E223" s="38"/>
      <c r="F223" s="38"/>
      <c r="G223" s="38"/>
      <c r="H223" s="38"/>
      <c r="I223" s="38" t="s">
        <v>9</v>
      </c>
      <c r="J223" s="38"/>
      <c r="K223" s="159" t="s">
        <v>24</v>
      </c>
      <c r="L223" s="53" t="s">
        <v>27</v>
      </c>
      <c r="M223" s="232" t="s">
        <v>1235</v>
      </c>
      <c r="N223" s="159" t="s">
        <v>1236</v>
      </c>
      <c r="O223" s="166">
        <v>0.04</v>
      </c>
      <c r="P223" s="160" t="s">
        <v>264</v>
      </c>
      <c r="Q223" s="178" t="s">
        <v>9</v>
      </c>
      <c r="R223" s="171" t="s">
        <v>103</v>
      </c>
      <c r="S223" s="171" t="s">
        <v>112</v>
      </c>
      <c r="T223" s="166" t="s">
        <v>264</v>
      </c>
      <c r="U223" s="166" t="s">
        <v>264</v>
      </c>
      <c r="V223" s="166"/>
      <c r="W223" s="15"/>
      <c r="X223" s="160"/>
      <c r="Y223" s="166"/>
      <c r="Z223" s="59" t="str">
        <f>IF(OR($M223="",NOT($O223="{array}")),"",IFERROR(MATCH(PARAMETERS!$M223,DEFAULT!$B$5:$CI$5,0),""))</f>
        <v/>
      </c>
      <c r="AA223" s="56">
        <f t="shared" si="22"/>
        <v>11</v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IF($AA223="","",IF($B223="I",VLOOKUP($AA223,#REF!,53,0),INDEX(VALUES!$B$1:$BQ$1,1,$AA223)))</f>
        <v>0,02</v>
      </c>
    </row>
    <row r="224" spans="1:29" hidden="1" outlineLevel="1" x14ac:dyDescent="0.3">
      <c r="A224" s="22" t="s">
        <v>84</v>
      </c>
      <c r="B224" s="41" t="str">
        <f t="shared" si="20"/>
        <v/>
      </c>
      <c r="C224" s="42">
        <f t="shared" si="21"/>
        <v>223</v>
      </c>
      <c r="D224" s="38"/>
      <c r="E224" s="38"/>
      <c r="F224" s="38"/>
      <c r="G224" s="38"/>
      <c r="H224" s="38"/>
      <c r="I224" s="38" t="s">
        <v>9</v>
      </c>
      <c r="J224" s="38"/>
      <c r="K224" s="159" t="s">
        <v>44</v>
      </c>
      <c r="L224" s="53" t="s">
        <v>27</v>
      </c>
      <c r="M224" s="232" t="s">
        <v>1237</v>
      </c>
      <c r="N224" s="166" t="s">
        <v>670</v>
      </c>
      <c r="O224" s="166">
        <v>0</v>
      </c>
      <c r="P224" s="160" t="s">
        <v>264</v>
      </c>
      <c r="Q224" s="178" t="s">
        <v>9</v>
      </c>
      <c r="R224" s="171" t="s">
        <v>103</v>
      </c>
      <c r="S224" s="171" t="s">
        <v>112</v>
      </c>
      <c r="T224" s="166" t="s">
        <v>264</v>
      </c>
      <c r="U224" s="166" t="s">
        <v>264</v>
      </c>
      <c r="V224" s="166" t="s">
        <v>670</v>
      </c>
      <c r="W224" s="15" t="str">
        <f>IF(IFERROR(VLOOKUP($M225,#REF!,1,0),"-")="-","","GS")</f>
        <v/>
      </c>
      <c r="X224" s="160" t="s">
        <v>264</v>
      </c>
      <c r="Y224" s="166" t="s">
        <v>671</v>
      </c>
      <c r="Z224" s="59" t="str">
        <f>IF(OR($M224="",NOT($O224="{array}")),"",IFERROR(MATCH(PARAMETERS!$M224,DEFAULT!$B$5:$CI$5,0),""))</f>
        <v/>
      </c>
      <c r="AA224" s="56" t="str">
        <f t="shared" si="22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IF($AA224="","",IF($B224="I",VLOOKUP($AA224,#REF!,53,0),INDEX(VALUES!$B$1:$BQ$1,1,$AA224)))</f>
        <v/>
      </c>
    </row>
    <row r="225" spans="1:29" hidden="1" outlineLevel="1" x14ac:dyDescent="0.3">
      <c r="A225" s="22" t="s">
        <v>84</v>
      </c>
      <c r="B225" s="41" t="str">
        <f t="shared" si="20"/>
        <v>V</v>
      </c>
      <c r="C225" s="42">
        <f t="shared" si="21"/>
        <v>224</v>
      </c>
      <c r="D225" s="38"/>
      <c r="E225" s="38"/>
      <c r="F225" s="38"/>
      <c r="G225" s="38"/>
      <c r="H225" s="38"/>
      <c r="I225" s="38" t="s">
        <v>9</v>
      </c>
      <c r="J225" s="38"/>
      <c r="K225" s="159" t="s">
        <v>24</v>
      </c>
      <c r="L225" s="53" t="s">
        <v>27</v>
      </c>
      <c r="M225" s="232" t="s">
        <v>1239</v>
      </c>
      <c r="N225" s="159" t="s">
        <v>1238</v>
      </c>
      <c r="O225" s="166">
        <v>0.05</v>
      </c>
      <c r="P225" s="160" t="s">
        <v>264</v>
      </c>
      <c r="Q225" s="178" t="s">
        <v>9</v>
      </c>
      <c r="R225" s="171" t="s">
        <v>103</v>
      </c>
      <c r="S225" s="171" t="s">
        <v>112</v>
      </c>
      <c r="T225" s="166" t="s">
        <v>264</v>
      </c>
      <c r="U225" s="166" t="s">
        <v>264</v>
      </c>
      <c r="V225" s="14" t="s">
        <v>1272</v>
      </c>
      <c r="X225" s="14"/>
      <c r="Z225" s="59" t="str">
        <f>IF(OR($M225="",NOT($O225="{array}")),"",IFERROR(MATCH(PARAMETERS!$M225,DEFAULT!$B$5:$CI$5,0),""))</f>
        <v/>
      </c>
      <c r="AA225" s="56">
        <f t="shared" si="22"/>
        <v>12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IF($AA225="","",IF($B225="I",VLOOKUP($AA225,#REF!,53,0),INDEX(VALUES!$B$1:$BQ$1,1,$AA225)))</f>
        <v>0,04 | 0,06</v>
      </c>
    </row>
    <row r="226" spans="1:29" hidden="1" outlineLevel="1" x14ac:dyDescent="0.3">
      <c r="A226" s="22" t="s">
        <v>84</v>
      </c>
      <c r="B226" s="41" t="str">
        <f t="shared" si="20"/>
        <v>V</v>
      </c>
      <c r="C226" s="42">
        <f t="shared" si="21"/>
        <v>225</v>
      </c>
      <c r="D226" s="38"/>
      <c r="E226" s="38"/>
      <c r="F226" s="38"/>
      <c r="G226" s="38"/>
      <c r="H226" s="38"/>
      <c r="I226" s="38" t="s">
        <v>9</v>
      </c>
      <c r="J226" s="38"/>
      <c r="K226" s="159" t="s">
        <v>24</v>
      </c>
      <c r="L226" s="53" t="s">
        <v>27</v>
      </c>
      <c r="M226" s="232" t="s">
        <v>1241</v>
      </c>
      <c r="N226" s="159" t="s">
        <v>1240</v>
      </c>
      <c r="O226" s="166">
        <v>0.03</v>
      </c>
      <c r="P226" s="160" t="s">
        <v>264</v>
      </c>
      <c r="Q226" s="178" t="s">
        <v>9</v>
      </c>
      <c r="R226" s="171" t="s">
        <v>103</v>
      </c>
      <c r="S226" s="171" t="s">
        <v>112</v>
      </c>
      <c r="T226" s="166" t="s">
        <v>264</v>
      </c>
      <c r="U226" s="166" t="s">
        <v>264</v>
      </c>
      <c r="V226" s="14" t="s">
        <v>1272</v>
      </c>
      <c r="W226" s="15" t="str">
        <f>IF(IFERROR(VLOOKUP($M226,#REF!,1,0),"-")="-","","GS")</f>
        <v/>
      </c>
      <c r="X226" s="160" t="s">
        <v>264</v>
      </c>
      <c r="Y226" s="166" t="s">
        <v>264</v>
      </c>
      <c r="Z226" s="59" t="str">
        <f>IF(OR($M226="",NOT($O226="{array}")),"",IFERROR(MATCH(PARAMETERS!$M226,DEFAULT!$B$5:$CI$5,0),""))</f>
        <v/>
      </c>
      <c r="AA226" s="56">
        <f t="shared" si="22"/>
        <v>13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IF($AA226="","",IF($B226="I",VLOOKUP($AA226,#REF!,53,0),INDEX(VALUES!$B$1:$BQ$1,1,$AA226)))</f>
        <v>0,04 | 0,05</v>
      </c>
    </row>
    <row r="227" spans="1:29" hidden="1" outlineLevel="1" x14ac:dyDescent="0.25">
      <c r="A227" s="22" t="s">
        <v>84</v>
      </c>
      <c r="B227" s="41" t="str">
        <f t="shared" si="20"/>
        <v>V</v>
      </c>
      <c r="C227" s="42">
        <f t="shared" si="21"/>
        <v>226</v>
      </c>
      <c r="D227" s="38"/>
      <c r="E227" s="38"/>
      <c r="F227" s="38"/>
      <c r="G227" s="38"/>
      <c r="H227" s="38"/>
      <c r="I227" s="38" t="s">
        <v>9</v>
      </c>
      <c r="J227" s="38"/>
      <c r="K227" s="53" t="s">
        <v>24</v>
      </c>
      <c r="L227" s="53" t="s">
        <v>27</v>
      </c>
      <c r="M227" s="244" t="s">
        <v>673</v>
      </c>
      <c r="N227" s="53" t="s">
        <v>674</v>
      </c>
      <c r="O227" s="155">
        <v>0</v>
      </c>
      <c r="P227" s="53"/>
      <c r="Q227" s="171" t="s">
        <v>9</v>
      </c>
      <c r="R227" s="38" t="s">
        <v>195</v>
      </c>
      <c r="S227" s="38"/>
      <c r="T227" s="38"/>
      <c r="V227" s="166" t="s">
        <v>667</v>
      </c>
      <c r="W227" s="15" t="str">
        <f>IF(IFERROR(VLOOKUP($M221,#REF!,1,0),"-")="-","","GS")</f>
        <v/>
      </c>
      <c r="X227" s="160" t="s">
        <v>264</v>
      </c>
      <c r="Y227" s="166" t="s">
        <v>668</v>
      </c>
      <c r="Z227" s="59" t="str">
        <f>IF(OR($M227="",NOT($O227="{array}")),"",IFERROR(MATCH(PARAMETERS!$M227,DEFAULT!$B$5:$CI$5,0),""))</f>
        <v/>
      </c>
      <c r="AA227" s="56">
        <f t="shared" si="22"/>
        <v>14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IF($AA227="","",IF($B227="I",VLOOKUP($AA227,#REF!,53,0),INDEX(VALUES!$B$1:$BQ$1,1,$AA227)))</f>
        <v>0,0205 | 0,0285</v>
      </c>
    </row>
    <row r="228" spans="1:29" hidden="1" outlineLevel="1" x14ac:dyDescent="0.25">
      <c r="A228" s="22" t="s">
        <v>84</v>
      </c>
      <c r="B228" s="41" t="str">
        <f t="shared" si="20"/>
        <v>V</v>
      </c>
      <c r="C228" s="42">
        <f t="shared" si="21"/>
        <v>227</v>
      </c>
      <c r="D228" s="38"/>
      <c r="E228" s="38"/>
      <c r="F228" s="38"/>
      <c r="G228" s="38"/>
      <c r="H228" s="38"/>
      <c r="I228" s="38" t="s">
        <v>9</v>
      </c>
      <c r="J228" s="38"/>
      <c r="K228" s="53" t="s">
        <v>24</v>
      </c>
      <c r="L228" s="53" t="s">
        <v>27</v>
      </c>
      <c r="M228" s="244" t="s">
        <v>675</v>
      </c>
      <c r="N228" s="53" t="s">
        <v>676</v>
      </c>
      <c r="O228" s="155">
        <v>1.7999999999999999E-2</v>
      </c>
      <c r="P228" s="53"/>
      <c r="Q228" s="171" t="s">
        <v>9</v>
      </c>
      <c r="R228" s="38" t="s">
        <v>195</v>
      </c>
      <c r="S228" s="38"/>
      <c r="T228" s="38"/>
      <c r="V228" s="166" t="s">
        <v>667</v>
      </c>
      <c r="W228" s="15" t="str">
        <f>IF(IFERROR(VLOOKUP($M223,#REF!,1,0),"-")="-","","GS")</f>
        <v/>
      </c>
      <c r="X228" s="160" t="s">
        <v>264</v>
      </c>
      <c r="Y228" s="166" t="s">
        <v>668</v>
      </c>
      <c r="Z228" s="59" t="str">
        <f>IF(OR($M228="",NOT($O228="{array}")),"",IFERROR(MATCH(PARAMETERS!$M228,DEFAULT!$B$5:$CI$5,0),""))</f>
        <v/>
      </c>
      <c r="AA228" s="56">
        <f t="shared" si="22"/>
        <v>15</v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IF($AA228="","",IF($B228="I",VLOOKUP($AA228,#REF!,53,0),INDEX(VALUES!$B$1:$BQ$1,1,$AA228)))</f>
        <v>0,012 | 0,013</v>
      </c>
    </row>
    <row r="229" spans="1:29" hidden="1" outlineLevel="1" x14ac:dyDescent="0.25">
      <c r="A229" s="22" t="s">
        <v>84</v>
      </c>
      <c r="B229" s="41" t="str">
        <f t="shared" si="20"/>
        <v>A</v>
      </c>
      <c r="C229" s="241">
        <f t="shared" si="21"/>
        <v>228</v>
      </c>
      <c r="D229" s="233"/>
      <c r="E229" s="233"/>
      <c r="F229" s="233"/>
      <c r="G229" s="233"/>
      <c r="H229" s="233"/>
      <c r="I229" s="233" t="s">
        <v>9</v>
      </c>
      <c r="J229" s="233"/>
      <c r="K229" s="234" t="s">
        <v>24</v>
      </c>
      <c r="L229" s="234" t="s">
        <v>27</v>
      </c>
      <c r="M229" s="242" t="s">
        <v>1279</v>
      </c>
      <c r="N229" s="234" t="s">
        <v>1280</v>
      </c>
      <c r="O229" s="235" t="s">
        <v>33</v>
      </c>
      <c r="P229" s="234"/>
      <c r="Q229" s="236"/>
      <c r="R229" s="233" t="s">
        <v>195</v>
      </c>
      <c r="S229" s="233"/>
      <c r="T229" s="233"/>
      <c r="U229" s="237"/>
      <c r="V229" s="238"/>
      <c r="W229" s="239" t="str">
        <f>IF(IFERROR(VLOOKUP($M224,#REF!,1,0),"-")="-","","GS")</f>
        <v/>
      </c>
      <c r="X229" s="240" t="s">
        <v>264</v>
      </c>
      <c r="Y229" s="238"/>
      <c r="Z229" s="59">
        <f>IF(OR($M229="",NOT($O229="{array}")),"",IFERROR(MATCH(PARAMETERS!$M229,DEFAULT!$B$5:$CI$5,0),""))</f>
        <v>5</v>
      </c>
      <c r="AA229" s="56" t="str">
        <f t="shared" si="2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IF($AA229="","",IF($B229="I",VLOOKUP($AA229,#REF!,53,0),INDEX(VALUES!$B$1:$BQ$1,1,$AA229)))</f>
        <v/>
      </c>
    </row>
    <row r="230" spans="1:29" collapsed="1" x14ac:dyDescent="0.3">
      <c r="A230" s="22" t="s">
        <v>84</v>
      </c>
      <c r="B230" s="41" t="str">
        <f t="shared" si="20"/>
        <v/>
      </c>
      <c r="C230" s="42">
        <f t="shared" si="21"/>
        <v>229</v>
      </c>
      <c r="D230" s="38"/>
      <c r="E230" s="38"/>
      <c r="F230" s="38"/>
      <c r="G230" s="38"/>
      <c r="H230" s="38"/>
      <c r="I230" s="38"/>
      <c r="J230" s="38"/>
      <c r="K230" s="14" t="s">
        <v>57</v>
      </c>
      <c r="L230" s="14" t="s">
        <v>38</v>
      </c>
      <c r="M230" s="48" t="s">
        <v>677</v>
      </c>
      <c r="N230" s="41" t="s">
        <v>678</v>
      </c>
      <c r="R230" s="38" t="s">
        <v>195</v>
      </c>
      <c r="S230" s="38"/>
      <c r="T230" s="38"/>
      <c r="W230" s="15" t="str">
        <f>IF(IFERROR(VLOOKUP($M230,#REF!,1,0),"-")="-","","GS")</f>
        <v/>
      </c>
      <c r="Y230" s="53"/>
      <c r="Z230" s="59" t="str">
        <f>IF(OR($M230="",NOT($O230="{array}")),"",IFERROR(MATCH(PARAMETERS!$M230,DEFAULT!$B$5:$CI$5,0),""))</f>
        <v/>
      </c>
      <c r="AA230" s="56" t="str">
        <f t="shared" si="2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IF($AA230="","",IF($B230="I",VLOOKUP($AA230,#REF!,53,0),INDEX(VALUES!$B$1:$BQ$1,1,$AA230)))</f>
        <v/>
      </c>
    </row>
    <row r="231" spans="1:29" x14ac:dyDescent="0.3">
      <c r="A231" s="22" t="s">
        <v>84</v>
      </c>
      <c r="B231" s="41" t="str">
        <f t="shared" si="20"/>
        <v/>
      </c>
      <c r="C231" s="42">
        <f t="shared" ref="C231:C260" si="23">(ROW()-1)</f>
        <v>230</v>
      </c>
      <c r="D231" s="38"/>
      <c r="E231" s="38"/>
      <c r="F231" s="38"/>
      <c r="G231" s="38"/>
      <c r="H231" s="38"/>
      <c r="I231" s="38"/>
      <c r="J231" s="38"/>
      <c r="K231" s="14" t="s">
        <v>57</v>
      </c>
      <c r="L231" s="14" t="s">
        <v>38</v>
      </c>
      <c r="M231" s="48" t="s">
        <v>679</v>
      </c>
      <c r="N231" s="41" t="s">
        <v>680</v>
      </c>
      <c r="R231" s="38" t="s">
        <v>103</v>
      </c>
      <c r="S231" s="38"/>
      <c r="T231" s="38"/>
      <c r="W231" s="15" t="str">
        <f>IF(IFERROR(VLOOKUP($M231,#REF!,1,0),"-")="-","","GS")</f>
        <v/>
      </c>
      <c r="Z231" s="59" t="str">
        <f>IF(OR($M231="",NOT($O231="{array}")),"",IFERROR(MATCH(PARAMETERS!$M231,DEFAULT!$B$5:$CI$5,0),""))</f>
        <v/>
      </c>
      <c r="AA231" s="56" t="str">
        <f t="shared" si="2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IF($AA231="","",IF($B231="I",VLOOKUP($AA231,#REF!,53,0),INDEX(VALUES!$B$1:$BQ$1,1,$AA231)))</f>
        <v/>
      </c>
    </row>
    <row r="232" spans="1:29" hidden="1" outlineLevel="1" x14ac:dyDescent="0.25">
      <c r="A232" s="22" t="s">
        <v>84</v>
      </c>
      <c r="B232" s="41" t="str">
        <f t="shared" si="20"/>
        <v/>
      </c>
      <c r="C232" s="42">
        <f t="shared" si="23"/>
        <v>231</v>
      </c>
      <c r="D232" s="38"/>
      <c r="E232" s="38"/>
      <c r="F232" s="38"/>
      <c r="G232" s="38"/>
      <c r="H232" s="38"/>
      <c r="I232" s="38" t="s">
        <v>9</v>
      </c>
      <c r="J232" s="38"/>
      <c r="K232" s="53" t="s">
        <v>18</v>
      </c>
      <c r="L232" s="53" t="s">
        <v>32</v>
      </c>
      <c r="M232" s="53" t="s">
        <v>681</v>
      </c>
      <c r="N232" s="53" t="s">
        <v>682</v>
      </c>
      <c r="O232" s="155" t="s">
        <v>458</v>
      </c>
      <c r="Q232" s="171"/>
      <c r="R232" s="171" t="s">
        <v>103</v>
      </c>
      <c r="S232" s="171" t="s">
        <v>112</v>
      </c>
      <c r="T232" s="166" t="s">
        <v>264</v>
      </c>
      <c r="U232" s="166" t="s">
        <v>264</v>
      </c>
      <c r="V232" s="166" t="s">
        <v>683</v>
      </c>
      <c r="W232" s="15"/>
      <c r="Z232" s="59" t="str">
        <f>IF(OR($M232="",NOT($O232="{array}")),"",IFERROR(MATCH(PARAMETERS!$M232,DEFAULT!$B$5:$CI$5,0),""))</f>
        <v/>
      </c>
      <c r="AA232" s="56" t="str">
        <f t="shared" si="2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IF($AA232="","",IF($B232="I",VLOOKUP($AA232,#REF!,53,0),INDEX(VALUES!$B$1:$BQ$1,1,$AA232)))</f>
        <v/>
      </c>
    </row>
    <row r="233" spans="1:29" hidden="1" outlineLevel="1" x14ac:dyDescent="0.25">
      <c r="A233" s="22"/>
      <c r="B233" s="41" t="str">
        <f t="shared" si="20"/>
        <v/>
      </c>
      <c r="C233" s="42">
        <f t="shared" si="23"/>
        <v>232</v>
      </c>
      <c r="D233" s="38"/>
      <c r="E233" s="38"/>
      <c r="F233" s="38"/>
      <c r="G233" s="38"/>
      <c r="H233" s="38"/>
      <c r="I233" s="38" t="s">
        <v>9</v>
      </c>
      <c r="J233" s="38"/>
      <c r="K233" s="166" t="s">
        <v>18</v>
      </c>
      <c r="L233" s="167" t="s">
        <v>21</v>
      </c>
      <c r="M233" s="166" t="s">
        <v>684</v>
      </c>
      <c r="N233" s="166" t="s">
        <v>264</v>
      </c>
      <c r="O233" s="166" t="s">
        <v>264</v>
      </c>
      <c r="P233" s="160" t="s">
        <v>264</v>
      </c>
      <c r="Q233" s="171" t="s">
        <v>9</v>
      </c>
      <c r="R233" s="171" t="s">
        <v>103</v>
      </c>
      <c r="S233" s="171" t="s">
        <v>112</v>
      </c>
      <c r="T233" s="166" t="s">
        <v>264</v>
      </c>
      <c r="U233" s="166" t="s">
        <v>264</v>
      </c>
      <c r="V233" s="166" t="s">
        <v>684</v>
      </c>
      <c r="W233" s="15" t="str">
        <f>IF(IFERROR(VLOOKUP($M233,#REF!,1,0),"-")="-","","GS")</f>
        <v/>
      </c>
      <c r="X233" s="160" t="s">
        <v>264</v>
      </c>
      <c r="Y233" s="166" t="s">
        <v>685</v>
      </c>
      <c r="Z233" s="59" t="str">
        <f>IF(OR($M233="",NOT($O233="{array}")),"",IFERROR(MATCH(PARAMETERS!$M233,DEFAULT!$B$5:$CI$5,0),""))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IF($AA233="","",IF($B233="I",VLOOKUP($AA233,#REF!,53,0),INDEX(VALUES!$B$1:$BQ$1,1,$AA233)))</f>
        <v/>
      </c>
    </row>
    <row r="234" spans="1:29" hidden="1" outlineLevel="1" x14ac:dyDescent="0.25">
      <c r="A234" s="22"/>
      <c r="B234" s="41" t="str">
        <f t="shared" si="20"/>
        <v/>
      </c>
      <c r="C234" s="42">
        <f t="shared" si="23"/>
        <v>233</v>
      </c>
      <c r="D234" s="38"/>
      <c r="E234" s="38"/>
      <c r="F234" s="38"/>
      <c r="G234" s="38"/>
      <c r="H234" s="38"/>
      <c r="I234" s="38" t="s">
        <v>9</v>
      </c>
      <c r="J234" s="38"/>
      <c r="K234" s="166" t="s">
        <v>18</v>
      </c>
      <c r="L234" s="167" t="s">
        <v>21</v>
      </c>
      <c r="M234" s="166" t="s">
        <v>686</v>
      </c>
      <c r="N234" s="166" t="s">
        <v>264</v>
      </c>
      <c r="O234" s="166" t="s">
        <v>264</v>
      </c>
      <c r="P234" s="160" t="s">
        <v>264</v>
      </c>
      <c r="Q234" s="171" t="s">
        <v>9</v>
      </c>
      <c r="R234" s="171" t="s">
        <v>103</v>
      </c>
      <c r="S234" s="171" t="s">
        <v>112</v>
      </c>
      <c r="T234" s="166" t="s">
        <v>264</v>
      </c>
      <c r="U234" s="166" t="s">
        <v>264</v>
      </c>
      <c r="V234" s="166" t="s">
        <v>686</v>
      </c>
      <c r="W234" s="15" t="str">
        <f>IF(IFERROR(VLOOKUP($M234,#REF!,1,0),"-")="-","","GS")</f>
        <v/>
      </c>
      <c r="X234" s="160" t="s">
        <v>264</v>
      </c>
      <c r="Y234" s="166" t="s">
        <v>687</v>
      </c>
      <c r="Z234" s="59" t="str">
        <f>IF(OR($M234="",NOT($O234="{array}")),"",IFERROR(MATCH(PARAMETERS!$M234,DEFAULT!$B$5:$CI$5,0),""))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IF($AA234="","",IF($B234="I",VLOOKUP($AA234,#REF!,53,0),INDEX(VALUES!$B$1:$BQ$1,1,$AA234)))</f>
        <v/>
      </c>
    </row>
    <row r="235" spans="1:29" hidden="1" outlineLevel="1" x14ac:dyDescent="0.25">
      <c r="A235" s="22"/>
      <c r="B235" s="41" t="str">
        <f t="shared" si="20"/>
        <v/>
      </c>
      <c r="C235" s="42">
        <f t="shared" si="23"/>
        <v>234</v>
      </c>
      <c r="D235" s="38"/>
      <c r="E235" s="38"/>
      <c r="F235" s="38"/>
      <c r="G235" s="38"/>
      <c r="H235" s="38"/>
      <c r="I235" s="38" t="s">
        <v>9</v>
      </c>
      <c r="J235" s="38"/>
      <c r="K235" s="166" t="s">
        <v>18</v>
      </c>
      <c r="L235" s="167" t="s">
        <v>21</v>
      </c>
      <c r="M235" s="166" t="s">
        <v>688</v>
      </c>
      <c r="N235" s="166" t="s">
        <v>264</v>
      </c>
      <c r="O235" s="166" t="s">
        <v>264</v>
      </c>
      <c r="P235" s="160" t="s">
        <v>264</v>
      </c>
      <c r="Q235" s="171" t="s">
        <v>9</v>
      </c>
      <c r="R235" s="171" t="s">
        <v>103</v>
      </c>
      <c r="S235" s="171" t="s">
        <v>112</v>
      </c>
      <c r="T235" s="166" t="s">
        <v>264</v>
      </c>
      <c r="U235" s="166" t="s">
        <v>264</v>
      </c>
      <c r="V235" s="166" t="s">
        <v>688</v>
      </c>
      <c r="W235" s="15" t="str">
        <f>IF(IFERROR(VLOOKUP($M235,#REF!,1,0),"-")="-","","GS")</f>
        <v/>
      </c>
      <c r="X235" s="160" t="s">
        <v>264</v>
      </c>
      <c r="Y235" s="166" t="s">
        <v>689</v>
      </c>
      <c r="Z235" s="59" t="str">
        <f>IF(OR($M235="",NOT($O235="{array}")),"",IFERROR(MATCH(PARAMETERS!$M235,DEFAULT!$B$5:$CI$5,0),""))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IF($AA235="","",IF($B235="I",VLOOKUP($AA235,#REF!,53,0),INDEX(VALUES!$B$1:$BQ$1,1,$AA235)))</f>
        <v/>
      </c>
    </row>
    <row r="236" spans="1:29" hidden="1" outlineLevel="1" x14ac:dyDescent="0.25">
      <c r="A236" s="22"/>
      <c r="B236" s="41" t="str">
        <f t="shared" si="20"/>
        <v/>
      </c>
      <c r="C236" s="42">
        <f t="shared" si="23"/>
        <v>235</v>
      </c>
      <c r="D236" s="38"/>
      <c r="E236" s="38"/>
      <c r="F236" s="38"/>
      <c r="G236" s="38"/>
      <c r="H236" s="38"/>
      <c r="I236" s="38" t="s">
        <v>9</v>
      </c>
      <c r="J236" s="38"/>
      <c r="K236" s="166" t="s">
        <v>18</v>
      </c>
      <c r="L236" s="167" t="s">
        <v>21</v>
      </c>
      <c r="M236" s="166" t="s">
        <v>690</v>
      </c>
      <c r="N236" s="166" t="s">
        <v>264</v>
      </c>
      <c r="O236" s="166" t="s">
        <v>264</v>
      </c>
      <c r="P236" s="160" t="s">
        <v>264</v>
      </c>
      <c r="Q236" s="171" t="s">
        <v>9</v>
      </c>
      <c r="R236" s="171" t="s">
        <v>103</v>
      </c>
      <c r="S236" s="171" t="s">
        <v>112</v>
      </c>
      <c r="T236" s="166" t="s">
        <v>264</v>
      </c>
      <c r="U236" s="166" t="s">
        <v>264</v>
      </c>
      <c r="V236" s="166" t="s">
        <v>690</v>
      </c>
      <c r="W236" s="15" t="str">
        <f>IF(IFERROR(VLOOKUP($M236,#REF!,1,0),"-")="-","","GS")</f>
        <v/>
      </c>
      <c r="X236" s="160" t="s">
        <v>264</v>
      </c>
      <c r="Y236" s="166" t="s">
        <v>691</v>
      </c>
      <c r="Z236" s="59" t="str">
        <f>IF(OR($M236="",NOT($O236="{array}")),"",IFERROR(MATCH(PARAMETERS!$M236,DEFAULT!$B$5:$CI$5,0),""))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IF($AA236="","",IF($B236="I",VLOOKUP($AA236,#REF!,53,0),INDEX(VALUES!$B$1:$BQ$1,1,$AA236)))</f>
        <v/>
      </c>
    </row>
    <row r="237" spans="1:29" hidden="1" outlineLevel="1" x14ac:dyDescent="0.25">
      <c r="A237" s="22"/>
      <c r="B237" s="41" t="str">
        <f t="shared" si="20"/>
        <v/>
      </c>
      <c r="C237" s="42">
        <f t="shared" si="23"/>
        <v>236</v>
      </c>
      <c r="D237" s="38"/>
      <c r="E237" s="38"/>
      <c r="F237" s="38"/>
      <c r="G237" s="38"/>
      <c r="H237" s="38"/>
      <c r="I237" s="38" t="s">
        <v>9</v>
      </c>
      <c r="J237" s="38"/>
      <c r="K237" s="166" t="s">
        <v>36</v>
      </c>
      <c r="L237" s="167" t="s">
        <v>21</v>
      </c>
      <c r="M237" s="166" t="s">
        <v>692</v>
      </c>
      <c r="N237" s="166" t="s">
        <v>264</v>
      </c>
      <c r="O237" s="166" t="s">
        <v>264</v>
      </c>
      <c r="P237" s="160" t="s">
        <v>126</v>
      </c>
      <c r="Q237" s="171" t="s">
        <v>9</v>
      </c>
      <c r="R237" s="171" t="s">
        <v>103</v>
      </c>
      <c r="S237" s="171" t="s">
        <v>112</v>
      </c>
      <c r="T237" s="166" t="s">
        <v>264</v>
      </c>
      <c r="U237" s="166" t="s">
        <v>264</v>
      </c>
      <c r="V237" s="166" t="s">
        <v>692</v>
      </c>
      <c r="W237" s="15" t="str">
        <f>IF(IFERROR(VLOOKUP($M237,#REF!,1,0),"-")="-","","GS")</f>
        <v/>
      </c>
      <c r="X237" s="160" t="s">
        <v>264</v>
      </c>
      <c r="Y237" s="166" t="s">
        <v>693</v>
      </c>
      <c r="Z237" s="59" t="str">
        <f>IF(OR($M237="",NOT($O237="{array}")),"",IFERROR(MATCH(PARAMETERS!$M237,DEFAULT!$B$5:$CI$5,0),""))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IF($AA237="","",IF($B237="I",VLOOKUP($AA237,#REF!,53,0),INDEX(VALUES!$B$1:$BQ$1,1,$AA237)))</f>
        <v/>
      </c>
    </row>
    <row r="238" spans="1:29" hidden="1" outlineLevel="1" x14ac:dyDescent="0.25">
      <c r="A238" s="22"/>
      <c r="B238" s="41" t="str">
        <f t="shared" si="20"/>
        <v/>
      </c>
      <c r="C238" s="42">
        <f t="shared" si="23"/>
        <v>237</v>
      </c>
      <c r="D238" s="38"/>
      <c r="E238" s="38"/>
      <c r="F238" s="38"/>
      <c r="G238" s="38"/>
      <c r="H238" s="38"/>
      <c r="I238" s="38" t="s">
        <v>9</v>
      </c>
      <c r="J238" s="38"/>
      <c r="K238" s="166" t="s">
        <v>36</v>
      </c>
      <c r="L238" s="167" t="s">
        <v>21</v>
      </c>
      <c r="M238" s="166" t="s">
        <v>694</v>
      </c>
      <c r="N238" s="166" t="s">
        <v>264</v>
      </c>
      <c r="O238" s="166" t="s">
        <v>264</v>
      </c>
      <c r="P238" s="160" t="s">
        <v>126</v>
      </c>
      <c r="Q238" s="171" t="s">
        <v>9</v>
      </c>
      <c r="R238" s="171" t="s">
        <v>103</v>
      </c>
      <c r="S238" s="171" t="s">
        <v>112</v>
      </c>
      <c r="T238" s="166" t="s">
        <v>264</v>
      </c>
      <c r="U238" s="166" t="s">
        <v>264</v>
      </c>
      <c r="V238" s="166" t="s">
        <v>694</v>
      </c>
      <c r="W238" s="15" t="str">
        <f>IF(IFERROR(VLOOKUP($M238,#REF!,1,0),"-")="-","","GS")</f>
        <v/>
      </c>
      <c r="X238" s="160" t="s">
        <v>264</v>
      </c>
      <c r="Y238" s="166" t="s">
        <v>695</v>
      </c>
      <c r="Z238" s="59" t="str">
        <f>IF(OR($M238="",NOT($O238="{array}")),"",IFERROR(MATCH(PARAMETERS!$M238,DEFAULT!$B$5:$CI$5,0),""))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IF($AA238="","",IF($B238="I",VLOOKUP($AA238,#REF!,53,0),INDEX(VALUES!$B$1:$BQ$1,1,$AA238)))</f>
        <v/>
      </c>
    </row>
    <row r="239" spans="1:29" hidden="1" outlineLevel="1" x14ac:dyDescent="0.25">
      <c r="A239" s="22"/>
      <c r="B239" s="41" t="str">
        <f t="shared" si="20"/>
        <v/>
      </c>
      <c r="C239" s="42">
        <f t="shared" si="23"/>
        <v>238</v>
      </c>
      <c r="D239" s="38"/>
      <c r="E239" s="38"/>
      <c r="F239" s="38"/>
      <c r="G239" s="38"/>
      <c r="H239" s="38"/>
      <c r="I239" s="38" t="s">
        <v>9</v>
      </c>
      <c r="J239" s="38"/>
      <c r="K239" s="166" t="s">
        <v>47</v>
      </c>
      <c r="L239" s="167" t="s">
        <v>21</v>
      </c>
      <c r="M239" s="166" t="s">
        <v>696</v>
      </c>
      <c r="N239" s="166" t="s">
        <v>264</v>
      </c>
      <c r="O239" s="166" t="s">
        <v>264</v>
      </c>
      <c r="P239" s="160" t="s">
        <v>264</v>
      </c>
      <c r="Q239" s="171" t="s">
        <v>9</v>
      </c>
      <c r="R239" s="171" t="s">
        <v>103</v>
      </c>
      <c r="S239" s="171" t="s">
        <v>112</v>
      </c>
      <c r="T239" s="166" t="s">
        <v>264</v>
      </c>
      <c r="U239" s="166" t="s">
        <v>264</v>
      </c>
      <c r="V239" s="166" t="s">
        <v>696</v>
      </c>
      <c r="W239" s="15" t="str">
        <f>IF(IFERROR(VLOOKUP($M239,#REF!,1,0),"-")="-","","GS")</f>
        <v/>
      </c>
      <c r="X239" s="160" t="s">
        <v>264</v>
      </c>
      <c r="Y239" s="166" t="s">
        <v>697</v>
      </c>
      <c r="Z239" s="59" t="str">
        <f>IF(OR($M239="",NOT($O239="{array}")),"",IFERROR(MATCH(PARAMETERS!$M239,DEFAULT!$B$5:$CI$5,0),""))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IF($AA239="","",IF($B239="I",VLOOKUP($AA239,#REF!,53,0),INDEX(VALUES!$B$1:$BQ$1,1,$AA239)))</f>
        <v/>
      </c>
    </row>
    <row r="240" spans="1:29" hidden="1" outlineLevel="1" x14ac:dyDescent="0.25">
      <c r="A240" s="22"/>
      <c r="B240" s="41" t="str">
        <f t="shared" si="20"/>
        <v/>
      </c>
      <c r="C240" s="42">
        <f t="shared" si="23"/>
        <v>239</v>
      </c>
      <c r="D240" s="38"/>
      <c r="E240" s="38"/>
      <c r="F240" s="38"/>
      <c r="G240" s="38"/>
      <c r="H240" s="38"/>
      <c r="I240" s="38" t="s">
        <v>9</v>
      </c>
      <c r="J240" s="38"/>
      <c r="K240" s="166" t="s">
        <v>18</v>
      </c>
      <c r="L240" s="167" t="s">
        <v>21</v>
      </c>
      <c r="M240" s="166" t="s">
        <v>698</v>
      </c>
      <c r="N240" s="166" t="s">
        <v>264</v>
      </c>
      <c r="O240" s="166" t="s">
        <v>264</v>
      </c>
      <c r="P240" s="160" t="s">
        <v>264</v>
      </c>
      <c r="Q240" s="171" t="s">
        <v>9</v>
      </c>
      <c r="R240" s="171" t="s">
        <v>103</v>
      </c>
      <c r="S240" s="171" t="s">
        <v>112</v>
      </c>
      <c r="T240" s="166" t="s">
        <v>264</v>
      </c>
      <c r="U240" s="166" t="s">
        <v>264</v>
      </c>
      <c r="V240" s="166" t="s">
        <v>698</v>
      </c>
      <c r="W240" s="15" t="str">
        <f>IF(IFERROR(VLOOKUP($M240,#REF!,1,0),"-")="-","","GS")</f>
        <v/>
      </c>
      <c r="X240" s="160" t="s">
        <v>264</v>
      </c>
      <c r="Y240" s="166" t="s">
        <v>699</v>
      </c>
      <c r="Z240" s="59" t="str">
        <f>IF(OR($M240="",NOT($O240="{array}")),"",IFERROR(MATCH(PARAMETERS!$M240,DEFAULT!$B$5:$CI$5,0),""))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IF($AA240="","",IF($B240="I",VLOOKUP($AA240,#REF!,53,0),INDEX(VALUES!$B$1:$BQ$1,1,$AA240)))</f>
        <v/>
      </c>
    </row>
    <row r="241" spans="1:29" hidden="1" outlineLevel="1" x14ac:dyDescent="0.25">
      <c r="A241" s="22"/>
      <c r="B241" s="41" t="str">
        <f t="shared" si="20"/>
        <v/>
      </c>
      <c r="C241" s="42">
        <f t="shared" si="23"/>
        <v>240</v>
      </c>
      <c r="D241" s="38"/>
      <c r="E241" s="38"/>
      <c r="F241" s="38"/>
      <c r="G241" s="38"/>
      <c r="H241" s="38"/>
      <c r="I241" s="38" t="s">
        <v>9</v>
      </c>
      <c r="J241" s="38"/>
      <c r="K241" s="166" t="s">
        <v>18</v>
      </c>
      <c r="L241" s="167" t="s">
        <v>21</v>
      </c>
      <c r="M241" s="166" t="s">
        <v>700</v>
      </c>
      <c r="N241" s="166" t="s">
        <v>264</v>
      </c>
      <c r="O241" s="166" t="s">
        <v>264</v>
      </c>
      <c r="P241" s="160" t="s">
        <v>264</v>
      </c>
      <c r="Q241" s="171" t="s">
        <v>9</v>
      </c>
      <c r="R241" s="171" t="s">
        <v>103</v>
      </c>
      <c r="S241" s="171" t="s">
        <v>112</v>
      </c>
      <c r="T241" s="166" t="s">
        <v>264</v>
      </c>
      <c r="U241" s="166" t="s">
        <v>264</v>
      </c>
      <c r="V241" s="166" t="s">
        <v>700</v>
      </c>
      <c r="W241" s="15" t="str">
        <f>IF(IFERROR(VLOOKUP($M241,#REF!,1,0),"-")="-","","GS")</f>
        <v/>
      </c>
      <c r="X241" s="160" t="s">
        <v>264</v>
      </c>
      <c r="Y241" s="166" t="s">
        <v>701</v>
      </c>
      <c r="Z241" s="59" t="str">
        <f>IF(OR($M241="",NOT($O241="{array}")),"",IFERROR(MATCH(PARAMETERS!$M241,DEFAULT!$B$5:$CI$5,0),""))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IF($AA241="","",IF($B241="I",VLOOKUP($AA241,#REF!,53,0),INDEX(VALUES!$B$1:$BQ$1,1,$AA241)))</f>
        <v/>
      </c>
    </row>
    <row r="242" spans="1:29" hidden="1" outlineLevel="1" x14ac:dyDescent="0.25">
      <c r="A242" s="22"/>
      <c r="B242" s="41" t="str">
        <f t="shared" si="20"/>
        <v/>
      </c>
      <c r="C242" s="42">
        <f t="shared" si="23"/>
        <v>241</v>
      </c>
      <c r="D242" s="38"/>
      <c r="E242" s="38"/>
      <c r="F242" s="38"/>
      <c r="G242" s="38"/>
      <c r="H242" s="38"/>
      <c r="I242" s="38" t="s">
        <v>9</v>
      </c>
      <c r="J242" s="38"/>
      <c r="K242" s="166" t="s">
        <v>18</v>
      </c>
      <c r="L242" s="167" t="s">
        <v>21</v>
      </c>
      <c r="M242" s="166" t="s">
        <v>702</v>
      </c>
      <c r="N242" s="166" t="s">
        <v>264</v>
      </c>
      <c r="O242" s="166" t="s">
        <v>264</v>
      </c>
      <c r="P242" s="160" t="s">
        <v>264</v>
      </c>
      <c r="Q242" s="171" t="s">
        <v>9</v>
      </c>
      <c r="R242" s="171" t="s">
        <v>103</v>
      </c>
      <c r="S242" s="171" t="s">
        <v>112</v>
      </c>
      <c r="T242" s="166" t="s">
        <v>264</v>
      </c>
      <c r="U242" s="166" t="s">
        <v>264</v>
      </c>
      <c r="V242" s="166" t="s">
        <v>702</v>
      </c>
      <c r="W242" s="15" t="str">
        <f>IF(IFERROR(VLOOKUP($M242,#REF!,1,0),"-")="-","","GS")</f>
        <v/>
      </c>
      <c r="X242" s="160" t="s">
        <v>264</v>
      </c>
      <c r="Y242" s="166" t="s">
        <v>703</v>
      </c>
      <c r="Z242" s="59" t="str">
        <f>IF(OR($M242="",NOT($O242="{array}")),"",IFERROR(MATCH(PARAMETERS!$M242,DEFAULT!$B$5:$CI$5,0),""))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IF($AA242="","",IF($B242="I",VLOOKUP($AA242,#REF!,53,0),INDEX(VALUES!$B$1:$BQ$1,1,$AA242)))</f>
        <v/>
      </c>
    </row>
    <row r="243" spans="1:29" hidden="1" outlineLevel="1" x14ac:dyDescent="0.25">
      <c r="A243" s="22"/>
      <c r="B243" s="41" t="str">
        <f t="shared" si="20"/>
        <v/>
      </c>
      <c r="C243" s="42">
        <f t="shared" si="23"/>
        <v>242</v>
      </c>
      <c r="D243" s="38"/>
      <c r="E243" s="38"/>
      <c r="F243" s="38"/>
      <c r="G243" s="38"/>
      <c r="H243" s="38"/>
      <c r="I243" s="38" t="s">
        <v>9</v>
      </c>
      <c r="J243" s="38"/>
      <c r="K243" s="166" t="s">
        <v>18</v>
      </c>
      <c r="L243" s="167" t="s">
        <v>21</v>
      </c>
      <c r="M243" s="166" t="s">
        <v>704</v>
      </c>
      <c r="N243" s="166" t="s">
        <v>264</v>
      </c>
      <c r="O243" s="166" t="s">
        <v>264</v>
      </c>
      <c r="P243" s="160" t="s">
        <v>264</v>
      </c>
      <c r="Q243" s="171" t="s">
        <v>9</v>
      </c>
      <c r="R243" s="171" t="s">
        <v>103</v>
      </c>
      <c r="S243" s="171" t="s">
        <v>112</v>
      </c>
      <c r="T243" s="166" t="s">
        <v>264</v>
      </c>
      <c r="U243" s="166" t="s">
        <v>264</v>
      </c>
      <c r="V243" s="166" t="s">
        <v>704</v>
      </c>
      <c r="W243" s="15" t="str">
        <f>IF(IFERROR(VLOOKUP($M243,#REF!,1,0),"-")="-","","GS")</f>
        <v/>
      </c>
      <c r="X243" s="160" t="s">
        <v>264</v>
      </c>
      <c r="Y243" s="166" t="s">
        <v>705</v>
      </c>
      <c r="Z243" s="59" t="str">
        <f>IF(OR($M243="",NOT($O243="{array}")),"",IFERROR(MATCH(PARAMETERS!$M243,DEFAULT!$B$5:$CI$5,0),""))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IF($AA243="","",IF($B243="I",VLOOKUP($AA243,#REF!,53,0),INDEX(VALUES!$B$1:$BQ$1,1,$AA243)))</f>
        <v/>
      </c>
    </row>
    <row r="244" spans="1:29" hidden="1" outlineLevel="1" x14ac:dyDescent="0.25">
      <c r="A244" s="22"/>
      <c r="B244" s="41" t="str">
        <f t="shared" si="20"/>
        <v/>
      </c>
      <c r="C244" s="42">
        <f t="shared" si="23"/>
        <v>243</v>
      </c>
      <c r="D244" s="38"/>
      <c r="E244" s="38"/>
      <c r="F244" s="38"/>
      <c r="G244" s="38"/>
      <c r="H244" s="38"/>
      <c r="I244" s="38" t="s">
        <v>9</v>
      </c>
      <c r="J244" s="38"/>
      <c r="K244" s="166" t="s">
        <v>18</v>
      </c>
      <c r="L244" s="167" t="s">
        <v>21</v>
      </c>
      <c r="M244" s="166" t="s">
        <v>706</v>
      </c>
      <c r="N244" s="166" t="s">
        <v>264</v>
      </c>
      <c r="O244" s="166" t="s">
        <v>264</v>
      </c>
      <c r="P244" s="160" t="s">
        <v>264</v>
      </c>
      <c r="Q244" s="171" t="s">
        <v>9</v>
      </c>
      <c r="R244" s="171" t="s">
        <v>103</v>
      </c>
      <c r="S244" s="171" t="s">
        <v>112</v>
      </c>
      <c r="T244" s="166" t="s">
        <v>264</v>
      </c>
      <c r="U244" s="166" t="s">
        <v>264</v>
      </c>
      <c r="V244" s="166" t="s">
        <v>706</v>
      </c>
      <c r="W244" s="15" t="str">
        <f>IF(IFERROR(VLOOKUP($M244,#REF!,1,0),"-")="-","","GS")</f>
        <v/>
      </c>
      <c r="X244" s="160" t="s">
        <v>264</v>
      </c>
      <c r="Y244" s="166" t="s">
        <v>707</v>
      </c>
      <c r="Z244" s="59" t="str">
        <f>IF(OR($M244="",NOT($O244="{array}")),"",IFERROR(MATCH(PARAMETERS!$M244,DEFAULT!$B$5:$CI$5,0),""))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IF($AA244="","",IF($B244="I",VLOOKUP($AA244,#REF!,53,0),INDEX(VALUES!$B$1:$BQ$1,1,$AA244)))</f>
        <v/>
      </c>
    </row>
    <row r="245" spans="1:29" hidden="1" outlineLevel="1" x14ac:dyDescent="0.25">
      <c r="A245" s="22"/>
      <c r="B245" s="41" t="str">
        <f t="shared" si="20"/>
        <v/>
      </c>
      <c r="C245" s="42">
        <f t="shared" si="23"/>
        <v>244</v>
      </c>
      <c r="D245" s="38"/>
      <c r="E245" s="38"/>
      <c r="F245" s="38"/>
      <c r="G245" s="38"/>
      <c r="H245" s="38"/>
      <c r="I245" s="38" t="s">
        <v>9</v>
      </c>
      <c r="J245" s="38"/>
      <c r="K245" s="166" t="s">
        <v>18</v>
      </c>
      <c r="L245" s="167" t="s">
        <v>21</v>
      </c>
      <c r="M245" s="166" t="s">
        <v>708</v>
      </c>
      <c r="N245" s="166" t="s">
        <v>264</v>
      </c>
      <c r="O245" s="166" t="s">
        <v>264</v>
      </c>
      <c r="P245" s="160" t="s">
        <v>264</v>
      </c>
      <c r="Q245" s="171" t="s">
        <v>9</v>
      </c>
      <c r="R245" s="171" t="s">
        <v>103</v>
      </c>
      <c r="S245" s="171" t="s">
        <v>112</v>
      </c>
      <c r="T245" s="166" t="s">
        <v>264</v>
      </c>
      <c r="U245" s="166" t="s">
        <v>264</v>
      </c>
      <c r="V245" s="166" t="s">
        <v>708</v>
      </c>
      <c r="W245" s="15" t="str">
        <f>IF(IFERROR(VLOOKUP($M245,#REF!,1,0),"-")="-","","GS")</f>
        <v/>
      </c>
      <c r="X245" s="160" t="s">
        <v>264</v>
      </c>
      <c r="Y245" s="166" t="s">
        <v>709</v>
      </c>
      <c r="Z245" s="59" t="str">
        <f>IF(OR($M245="",NOT($O245="{array}")),"",IFERROR(MATCH(PARAMETERS!$M245,DEFAULT!$B$5:$CI$5,0),""))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IF($AA245="","",IF($B245="I",VLOOKUP($AA245,#REF!,53,0),INDEX(VALUES!$B$1:$BQ$1,1,$AA245)))</f>
        <v/>
      </c>
    </row>
    <row r="246" spans="1:29" hidden="1" outlineLevel="1" x14ac:dyDescent="0.25">
      <c r="A246" s="22"/>
      <c r="B246" s="41" t="str">
        <f t="shared" si="20"/>
        <v/>
      </c>
      <c r="C246" s="42">
        <f t="shared" si="23"/>
        <v>245</v>
      </c>
      <c r="D246" s="38"/>
      <c r="E246" s="38"/>
      <c r="F246" s="38"/>
      <c r="G246" s="38"/>
      <c r="H246" s="38"/>
      <c r="I246" s="38" t="s">
        <v>9</v>
      </c>
      <c r="J246" s="38"/>
      <c r="K246" s="166" t="s">
        <v>18</v>
      </c>
      <c r="L246" s="167" t="s">
        <v>21</v>
      </c>
      <c r="M246" s="166" t="s">
        <v>710</v>
      </c>
      <c r="N246" s="166" t="s">
        <v>264</v>
      </c>
      <c r="O246" s="166" t="s">
        <v>264</v>
      </c>
      <c r="P246" s="160" t="s">
        <v>264</v>
      </c>
      <c r="Q246" s="171" t="s">
        <v>9</v>
      </c>
      <c r="R246" s="171" t="s">
        <v>103</v>
      </c>
      <c r="S246" s="171" t="s">
        <v>112</v>
      </c>
      <c r="T246" s="166" t="s">
        <v>264</v>
      </c>
      <c r="U246" s="166" t="s">
        <v>264</v>
      </c>
      <c r="V246" s="166" t="s">
        <v>710</v>
      </c>
      <c r="W246" s="15" t="str">
        <f>IF(IFERROR(VLOOKUP($M246,#REF!,1,0),"-")="-","","GS")</f>
        <v/>
      </c>
      <c r="X246" s="160" t="s">
        <v>264</v>
      </c>
      <c r="Y246" s="166" t="s">
        <v>711</v>
      </c>
      <c r="Z246" s="59" t="str">
        <f>IF(OR($M246="",NOT($O246="{array}")),"",IFERROR(MATCH(PARAMETERS!$M246,DEFAULT!$B$5:$CI$5,0),""))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IF($AA246="","",IF($B246="I",VLOOKUP($AA246,#REF!,53,0),INDEX(VALUES!$B$1:$BQ$1,1,$AA246)))</f>
        <v/>
      </c>
    </row>
    <row r="247" spans="1:29" hidden="1" outlineLevel="1" x14ac:dyDescent="0.25">
      <c r="A247" s="22"/>
      <c r="B247" s="41" t="str">
        <f t="shared" si="20"/>
        <v/>
      </c>
      <c r="C247" s="42">
        <f t="shared" si="23"/>
        <v>246</v>
      </c>
      <c r="D247" s="38"/>
      <c r="E247" s="38"/>
      <c r="F247" s="38"/>
      <c r="G247" s="38"/>
      <c r="H247" s="38"/>
      <c r="I247" s="38" t="s">
        <v>9</v>
      </c>
      <c r="J247" s="38"/>
      <c r="K247" s="166" t="s">
        <v>18</v>
      </c>
      <c r="L247" s="167" t="s">
        <v>21</v>
      </c>
      <c r="M247" s="166" t="s">
        <v>712</v>
      </c>
      <c r="N247" s="166" t="s">
        <v>264</v>
      </c>
      <c r="O247" s="166" t="s">
        <v>264</v>
      </c>
      <c r="P247" s="160" t="s">
        <v>264</v>
      </c>
      <c r="Q247" s="171" t="s">
        <v>9</v>
      </c>
      <c r="R247" s="171" t="s">
        <v>103</v>
      </c>
      <c r="S247" s="171" t="s">
        <v>112</v>
      </c>
      <c r="T247" s="166" t="s">
        <v>264</v>
      </c>
      <c r="U247" s="166" t="s">
        <v>264</v>
      </c>
      <c r="V247" s="166" t="s">
        <v>712</v>
      </c>
      <c r="W247" s="15" t="str">
        <f>IF(IFERROR(VLOOKUP($M247,#REF!,1,0),"-")="-","","GS")</f>
        <v/>
      </c>
      <c r="X247" s="160" t="s">
        <v>264</v>
      </c>
      <c r="Y247" s="166" t="s">
        <v>713</v>
      </c>
      <c r="Z247" s="59" t="str">
        <f>IF(OR($M247="",NOT($O247="{array}")),"",IFERROR(MATCH(PARAMETERS!$M247,DEFAULT!$B$5:$CI$5,0),""))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IF($AA247="","",IF($B247="I",VLOOKUP($AA247,#REF!,53,0),INDEX(VALUES!$B$1:$BQ$1,1,$AA247)))</f>
        <v/>
      </c>
    </row>
    <row r="248" spans="1:29" hidden="1" outlineLevel="1" x14ac:dyDescent="0.25">
      <c r="A248" s="22"/>
      <c r="B248" s="41" t="str">
        <f t="shared" si="20"/>
        <v/>
      </c>
      <c r="C248" s="42">
        <f t="shared" si="23"/>
        <v>247</v>
      </c>
      <c r="D248" s="38"/>
      <c r="E248" s="38"/>
      <c r="F248" s="38"/>
      <c r="G248" s="38"/>
      <c r="H248" s="38"/>
      <c r="I248" s="38" t="s">
        <v>9</v>
      </c>
      <c r="J248" s="38"/>
      <c r="K248" s="166" t="s">
        <v>18</v>
      </c>
      <c r="L248" s="167" t="s">
        <v>21</v>
      </c>
      <c r="M248" s="166" t="s">
        <v>714</v>
      </c>
      <c r="N248" s="166" t="s">
        <v>264</v>
      </c>
      <c r="O248" s="166" t="s">
        <v>264</v>
      </c>
      <c r="P248" s="160" t="s">
        <v>264</v>
      </c>
      <c r="Q248" s="171" t="s">
        <v>9</v>
      </c>
      <c r="R248" s="171" t="s">
        <v>103</v>
      </c>
      <c r="S248" s="171" t="s">
        <v>112</v>
      </c>
      <c r="T248" s="166" t="s">
        <v>264</v>
      </c>
      <c r="U248" s="166" t="s">
        <v>264</v>
      </c>
      <c r="V248" s="166" t="s">
        <v>714</v>
      </c>
      <c r="W248" s="15" t="str">
        <f>IF(IFERROR(VLOOKUP($M248,#REF!,1,0),"-")="-","","GS")</f>
        <v/>
      </c>
      <c r="X248" s="160" t="s">
        <v>264</v>
      </c>
      <c r="Y248" s="166" t="s">
        <v>715</v>
      </c>
      <c r="Z248" s="59" t="str">
        <f>IF(OR($M248="",NOT($O248="{array}")),"",IFERROR(MATCH(PARAMETERS!$M248,DEFAULT!$B$5:$CI$5,0),""))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IF($AA248="","",IF($B248="I",VLOOKUP($AA248,#REF!,53,0),INDEX(VALUES!$B$1:$BQ$1,1,$AA248)))</f>
        <v/>
      </c>
    </row>
    <row r="249" spans="1:29" hidden="1" outlineLevel="1" x14ac:dyDescent="0.25">
      <c r="A249" s="22"/>
      <c r="B249" s="41" t="str">
        <f t="shared" si="20"/>
        <v/>
      </c>
      <c r="C249" s="42">
        <f t="shared" si="23"/>
        <v>248</v>
      </c>
      <c r="D249" s="38"/>
      <c r="E249" s="38"/>
      <c r="F249" s="38"/>
      <c r="G249" s="38"/>
      <c r="H249" s="38"/>
      <c r="I249" s="38" t="s">
        <v>9</v>
      </c>
      <c r="J249" s="38"/>
      <c r="K249" s="166" t="s">
        <v>18</v>
      </c>
      <c r="L249" s="167" t="s">
        <v>21</v>
      </c>
      <c r="M249" s="166" t="s">
        <v>716</v>
      </c>
      <c r="N249" s="166" t="s">
        <v>264</v>
      </c>
      <c r="O249" s="166" t="s">
        <v>264</v>
      </c>
      <c r="P249" s="160" t="s">
        <v>264</v>
      </c>
      <c r="Q249" s="171" t="s">
        <v>9</v>
      </c>
      <c r="R249" s="171" t="s">
        <v>103</v>
      </c>
      <c r="S249" s="171" t="s">
        <v>112</v>
      </c>
      <c r="T249" s="166" t="s">
        <v>264</v>
      </c>
      <c r="U249" s="166" t="s">
        <v>264</v>
      </c>
      <c r="V249" s="166" t="s">
        <v>716</v>
      </c>
      <c r="W249" s="15" t="str">
        <f>IF(IFERROR(VLOOKUP($M249,#REF!,1,0),"-")="-","","GS")</f>
        <v/>
      </c>
      <c r="X249" s="160" t="s">
        <v>264</v>
      </c>
      <c r="Y249" s="166" t="s">
        <v>264</v>
      </c>
      <c r="Z249" s="59" t="str">
        <f>IF(OR($M249="",NOT($O249="{array}")),"",IFERROR(MATCH(PARAMETERS!$M249,DEFAULT!$B$5:$CI$5,0),""))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IF($AA249="","",IF($B249="I",VLOOKUP($AA249,#REF!,53,0),INDEX(VALUES!$B$1:$BQ$1,1,$AA249)))</f>
        <v/>
      </c>
    </row>
    <row r="250" spans="1:29" hidden="1" outlineLevel="1" x14ac:dyDescent="0.25">
      <c r="A250" s="22"/>
      <c r="B250" s="41" t="str">
        <f t="shared" si="20"/>
        <v/>
      </c>
      <c r="C250" s="42">
        <f t="shared" si="23"/>
        <v>249</v>
      </c>
      <c r="D250" s="38"/>
      <c r="E250" s="38"/>
      <c r="F250" s="38"/>
      <c r="G250" s="38"/>
      <c r="H250" s="38"/>
      <c r="I250" s="38" t="s">
        <v>9</v>
      </c>
      <c r="J250" s="38"/>
      <c r="K250" s="166" t="s">
        <v>18</v>
      </c>
      <c r="L250" s="167" t="s">
        <v>21</v>
      </c>
      <c r="M250" s="166" t="s">
        <v>717</v>
      </c>
      <c r="N250" s="166" t="s">
        <v>264</v>
      </c>
      <c r="O250" s="166" t="s">
        <v>264</v>
      </c>
      <c r="P250" s="160" t="s">
        <v>264</v>
      </c>
      <c r="Q250" s="171" t="s">
        <v>9</v>
      </c>
      <c r="R250" s="171" t="s">
        <v>103</v>
      </c>
      <c r="S250" s="171" t="s">
        <v>112</v>
      </c>
      <c r="T250" s="166" t="s">
        <v>264</v>
      </c>
      <c r="U250" s="166" t="s">
        <v>264</v>
      </c>
      <c r="V250" s="166" t="s">
        <v>717</v>
      </c>
      <c r="W250" s="15" t="str">
        <f>IF(IFERROR(VLOOKUP($M250,#REF!,1,0),"-")="-","","GS")</f>
        <v/>
      </c>
      <c r="X250" s="160" t="s">
        <v>264</v>
      </c>
      <c r="Y250" s="166" t="s">
        <v>264</v>
      </c>
      <c r="Z250" s="59" t="str">
        <f>IF(OR($M250="",NOT($O250="{array}")),"",IFERROR(MATCH(PARAMETERS!$M250,DEFAULT!$B$5:$CI$5,0),""))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IF($AA250="","",IF($B250="I",VLOOKUP($AA250,#REF!,53,0),INDEX(VALUES!$B$1:$BQ$1,1,$AA250)))</f>
        <v/>
      </c>
    </row>
    <row r="251" spans="1:29" collapsed="1" x14ac:dyDescent="0.3">
      <c r="A251" s="22" t="s">
        <v>84</v>
      </c>
      <c r="B251" s="41" t="str">
        <f t="shared" ref="B251:B260" si="24">IF($A251="P",IF(NOT($Z251=""),"A",IF(NOT($AA251=""),"I","")),IF(NOT($AA251=""),IF($A251="G","V","X"),IF(NOT($Z251=""),"A","")))</f>
        <v/>
      </c>
      <c r="C251" s="42">
        <f t="shared" si="23"/>
        <v>250</v>
      </c>
      <c r="D251" s="38"/>
      <c r="E251" s="38"/>
      <c r="F251" s="38"/>
      <c r="G251" s="38"/>
      <c r="H251" s="38"/>
      <c r="I251" s="38"/>
      <c r="J251" s="38"/>
      <c r="K251" s="14" t="s">
        <v>57</v>
      </c>
      <c r="L251" s="14" t="s">
        <v>38</v>
      </c>
      <c r="M251" s="48" t="s">
        <v>718</v>
      </c>
      <c r="N251" s="41" t="s">
        <v>719</v>
      </c>
      <c r="R251" s="38" t="s">
        <v>103</v>
      </c>
      <c r="S251" s="38"/>
      <c r="T251" s="38"/>
      <c r="W251" s="15" t="str">
        <f>IF(IFERROR(VLOOKUP($M251,#REF!,1,0),"-")="-","","GS")</f>
        <v/>
      </c>
      <c r="Y251" s="53"/>
      <c r="Z251" s="59" t="str">
        <f>IF(OR($M251="",NOT($O251="{array}")),"",IFERROR(MATCH(PARAMETERS!$M251,DEFAULT!$B$5:$CI$5,0),""))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IF($AA251="","",IF($B251="I",VLOOKUP($AA251,#REF!,53,0),INDEX(VALUES!$B$1:$BQ$1,1,$AA251)))</f>
        <v/>
      </c>
    </row>
    <row r="252" spans="1:29" hidden="1" outlineLevel="1" x14ac:dyDescent="0.3">
      <c r="A252" s="22" t="s">
        <v>84</v>
      </c>
      <c r="B252" s="41" t="str">
        <f t="shared" si="24"/>
        <v/>
      </c>
      <c r="C252" s="42">
        <f t="shared" si="23"/>
        <v>251</v>
      </c>
      <c r="D252" s="38"/>
      <c r="E252" s="38"/>
      <c r="F252" s="38" t="s">
        <v>9</v>
      </c>
      <c r="G252" s="38"/>
      <c r="H252" s="38"/>
      <c r="I252" s="38" t="s">
        <v>9</v>
      </c>
      <c r="J252" s="38"/>
      <c r="K252" s="14" t="s">
        <v>18</v>
      </c>
      <c r="L252" s="14" t="s">
        <v>21</v>
      </c>
      <c r="M252" s="20" t="s">
        <v>741</v>
      </c>
      <c r="N252" s="14" t="s">
        <v>742</v>
      </c>
      <c r="Q252" s="38" t="s">
        <v>9</v>
      </c>
      <c r="R252" s="38" t="s">
        <v>104</v>
      </c>
      <c r="S252" s="38"/>
      <c r="T252" s="38"/>
      <c r="W252" s="15" t="str">
        <f>IF(IFERROR(VLOOKUP($M252,#REF!,1,0),"-")="-","","GS")</f>
        <v/>
      </c>
      <c r="Z252" s="59" t="str">
        <f>IF(OR($M252="",NOT($O252="{array}")),"",IFERROR(MATCH(PARAMETERS!$M252,DEFAULT!$B$5:$CI$5,0),""))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IF($AA252="","",IF($B252="I",VLOOKUP($AA252,#REF!,53,0),INDEX(VALUES!$B$1:$BQ$1,1,$AA252)))</f>
        <v/>
      </c>
    </row>
    <row r="253" spans="1:29" hidden="1" outlineLevel="1" x14ac:dyDescent="0.25">
      <c r="A253" s="22"/>
      <c r="B253" s="41" t="str">
        <f t="shared" si="24"/>
        <v/>
      </c>
      <c r="C253" s="42">
        <f t="shared" si="23"/>
        <v>252</v>
      </c>
      <c r="D253" s="38"/>
      <c r="E253" s="38"/>
      <c r="F253" s="38"/>
      <c r="G253" s="38"/>
      <c r="H253" s="38"/>
      <c r="I253" s="38" t="s">
        <v>9</v>
      </c>
      <c r="J253" s="38"/>
      <c r="K253" s="166" t="s">
        <v>18</v>
      </c>
      <c r="L253" s="167" t="s">
        <v>21</v>
      </c>
      <c r="M253" s="166" t="s">
        <v>743</v>
      </c>
      <c r="N253" s="166" t="s">
        <v>264</v>
      </c>
      <c r="O253" s="166" t="s">
        <v>264</v>
      </c>
      <c r="P253" s="160" t="s">
        <v>264</v>
      </c>
      <c r="Q253" s="160" t="s">
        <v>9</v>
      </c>
      <c r="R253" s="160" t="s">
        <v>103</v>
      </c>
      <c r="S253" s="160" t="s">
        <v>112</v>
      </c>
      <c r="T253" s="166" t="s">
        <v>264</v>
      </c>
      <c r="U253" s="166" t="s">
        <v>264</v>
      </c>
      <c r="V253" s="166" t="s">
        <v>743</v>
      </c>
      <c r="W253" s="15" t="str">
        <f>IF(IFERROR(VLOOKUP($M253,#REF!,1,0),"-")="-","","GS")</f>
        <v/>
      </c>
      <c r="X253" s="160" t="s">
        <v>264</v>
      </c>
      <c r="Y253" s="166" t="s">
        <v>744</v>
      </c>
      <c r="Z253" s="59" t="str">
        <f>IF(OR($M253="",NOT($O253="{array}")),"",IFERROR(MATCH(PARAMETERS!$M253,DEFAULT!$B$5:$CI$5,0),""))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IF($AA253="","",IF($B253="I",VLOOKUP($AA253,#REF!,53,0),INDEX(VALUES!$B$1:$BQ$1,1,$AA253)))</f>
        <v/>
      </c>
    </row>
    <row r="254" spans="1:29" hidden="1" outlineLevel="1" x14ac:dyDescent="0.25">
      <c r="A254" s="22"/>
      <c r="B254" s="41" t="str">
        <f t="shared" si="24"/>
        <v/>
      </c>
      <c r="C254" s="42">
        <f t="shared" si="23"/>
        <v>253</v>
      </c>
      <c r="D254" s="38"/>
      <c r="E254" s="38"/>
      <c r="F254" s="38"/>
      <c r="G254" s="38"/>
      <c r="H254" s="38"/>
      <c r="I254" s="38" t="s">
        <v>9</v>
      </c>
      <c r="J254" s="38"/>
      <c r="K254" s="166" t="s">
        <v>100</v>
      </c>
      <c r="L254" s="167" t="s">
        <v>21</v>
      </c>
      <c r="M254" s="166" t="s">
        <v>745</v>
      </c>
      <c r="N254" s="166" t="s">
        <v>264</v>
      </c>
      <c r="O254" s="166" t="s">
        <v>746</v>
      </c>
      <c r="P254" s="160" t="s">
        <v>264</v>
      </c>
      <c r="Q254" s="160" t="s">
        <v>9</v>
      </c>
      <c r="R254" s="160" t="s">
        <v>103</v>
      </c>
      <c r="S254" s="160" t="s">
        <v>112</v>
      </c>
      <c r="T254" s="166" t="s">
        <v>264</v>
      </c>
      <c r="U254" s="166" t="s">
        <v>264</v>
      </c>
      <c r="V254" s="166" t="s">
        <v>745</v>
      </c>
      <c r="W254" s="15" t="str">
        <f>IF(IFERROR(VLOOKUP($M254,#REF!,1,0),"-")="-","","GS")</f>
        <v/>
      </c>
      <c r="X254" s="160" t="s">
        <v>264</v>
      </c>
      <c r="Y254" s="166" t="s">
        <v>747</v>
      </c>
      <c r="Z254" s="59" t="str">
        <f>IF(OR($M254="",NOT($O254="{array}")),"",IFERROR(MATCH(PARAMETERS!$M254,DEFAULT!$B$5:$CI$5,0),""))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IF($AA254="","",IF($B254="I",VLOOKUP($AA254,#REF!,53,0),INDEX(VALUES!$B$1:$BQ$1,1,$AA254)))</f>
        <v/>
      </c>
    </row>
    <row r="255" spans="1:29" hidden="1" outlineLevel="1" x14ac:dyDescent="0.25">
      <c r="A255" s="22"/>
      <c r="B255" s="41" t="str">
        <f t="shared" si="24"/>
        <v/>
      </c>
      <c r="C255" s="42">
        <f t="shared" si="23"/>
        <v>254</v>
      </c>
      <c r="D255" s="38"/>
      <c r="E255" s="38"/>
      <c r="F255" s="38"/>
      <c r="G255" s="38"/>
      <c r="H255" s="38"/>
      <c r="I255" s="38" t="s">
        <v>9</v>
      </c>
      <c r="J255" s="38"/>
      <c r="K255" s="166" t="s">
        <v>100</v>
      </c>
      <c r="L255" s="167" t="s">
        <v>21</v>
      </c>
      <c r="M255" s="166" t="s">
        <v>748</v>
      </c>
      <c r="N255" s="166" t="s">
        <v>264</v>
      </c>
      <c r="O255" s="166" t="s">
        <v>749</v>
      </c>
      <c r="P255" s="160" t="s">
        <v>264</v>
      </c>
      <c r="Q255" s="160" t="s">
        <v>9</v>
      </c>
      <c r="R255" s="160" t="s">
        <v>103</v>
      </c>
      <c r="S255" s="160" t="s">
        <v>112</v>
      </c>
      <c r="T255" s="166" t="s">
        <v>264</v>
      </c>
      <c r="U255" s="166" t="s">
        <v>264</v>
      </c>
      <c r="V255" s="166" t="s">
        <v>748</v>
      </c>
      <c r="W255" s="15" t="str">
        <f>IF(IFERROR(VLOOKUP($M255,#REF!,1,0),"-")="-","","GS")</f>
        <v/>
      </c>
      <c r="X255" s="160" t="s">
        <v>264</v>
      </c>
      <c r="Y255" s="166" t="s">
        <v>747</v>
      </c>
      <c r="Z255" s="59" t="str">
        <f>IF(OR($M255="",NOT($O255="{array}")),"",IFERROR(MATCH(PARAMETERS!$M255,DEFAULT!$B$5:$CI$5,0),""))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IF($AA255="","",IF($B255="I",VLOOKUP($AA255,#REF!,53,0),INDEX(VALUES!$B$1:$BQ$1,1,$AA255)))</f>
        <v/>
      </c>
    </row>
    <row r="256" spans="1:29" hidden="1" outlineLevel="1" x14ac:dyDescent="0.25">
      <c r="A256" s="22"/>
      <c r="B256" s="41" t="str">
        <f t="shared" si="24"/>
        <v/>
      </c>
      <c r="C256" s="42">
        <f t="shared" si="23"/>
        <v>255</v>
      </c>
      <c r="D256" s="38"/>
      <c r="E256" s="38"/>
      <c r="F256" s="38"/>
      <c r="G256" s="38"/>
      <c r="H256" s="38"/>
      <c r="I256" s="38" t="s">
        <v>9</v>
      </c>
      <c r="J256" s="38"/>
      <c r="K256" s="166" t="s">
        <v>47</v>
      </c>
      <c r="L256" s="167" t="s">
        <v>21</v>
      </c>
      <c r="M256" s="166" t="s">
        <v>750</v>
      </c>
      <c r="N256" s="166" t="s">
        <v>264</v>
      </c>
      <c r="O256" s="166" t="s">
        <v>264</v>
      </c>
      <c r="P256" s="160" t="s">
        <v>264</v>
      </c>
      <c r="Q256" s="160" t="s">
        <v>9</v>
      </c>
      <c r="R256" s="160" t="s">
        <v>103</v>
      </c>
      <c r="S256" s="160" t="s">
        <v>112</v>
      </c>
      <c r="T256" s="166" t="s">
        <v>264</v>
      </c>
      <c r="U256" s="166" t="s">
        <v>264</v>
      </c>
      <c r="V256" s="166" t="s">
        <v>750</v>
      </c>
      <c r="W256" s="15" t="str">
        <f>IF(IFERROR(VLOOKUP($M256,#REF!,1,0),"-")="-","","GS")</f>
        <v/>
      </c>
      <c r="X256" s="160" t="s">
        <v>264</v>
      </c>
      <c r="Y256" s="166" t="s">
        <v>751</v>
      </c>
      <c r="Z256" s="59" t="str">
        <f>IF(OR($M256="",NOT($O256="{array}")),"",IFERROR(MATCH(PARAMETERS!$M256,DEFAULT!$B$5:$CI$5,0),""))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IF($AA256="","",IF($B256="I",VLOOKUP($AA256,#REF!,53,0),INDEX(VALUES!$B$1:$BQ$1,1,$AA256)))</f>
        <v/>
      </c>
    </row>
    <row r="257" spans="1:29" hidden="1" outlineLevel="1" x14ac:dyDescent="0.25">
      <c r="A257" s="22"/>
      <c r="B257" s="41" t="str">
        <f t="shared" si="24"/>
        <v/>
      </c>
      <c r="C257" s="42">
        <f t="shared" si="23"/>
        <v>256</v>
      </c>
      <c r="D257" s="38"/>
      <c r="E257" s="38"/>
      <c r="F257" s="38"/>
      <c r="G257" s="38"/>
      <c r="H257" s="38"/>
      <c r="I257" s="38" t="s">
        <v>9</v>
      </c>
      <c r="J257" s="38"/>
      <c r="K257" s="166" t="s">
        <v>47</v>
      </c>
      <c r="L257" s="167" t="s">
        <v>21</v>
      </c>
      <c r="M257" s="166" t="s">
        <v>752</v>
      </c>
      <c r="N257" s="166" t="s">
        <v>264</v>
      </c>
      <c r="O257" s="166" t="s">
        <v>264</v>
      </c>
      <c r="P257" s="160" t="s">
        <v>264</v>
      </c>
      <c r="Q257" s="160" t="s">
        <v>9</v>
      </c>
      <c r="R257" s="160" t="s">
        <v>103</v>
      </c>
      <c r="S257" s="160" t="s">
        <v>112</v>
      </c>
      <c r="T257" s="166" t="s">
        <v>264</v>
      </c>
      <c r="U257" s="166" t="s">
        <v>264</v>
      </c>
      <c r="V257" s="166" t="s">
        <v>752</v>
      </c>
      <c r="W257" s="15" t="str">
        <f>IF(IFERROR(VLOOKUP($M257,#REF!,1,0),"-")="-","","GS")</f>
        <v/>
      </c>
      <c r="X257" s="160" t="s">
        <v>264</v>
      </c>
      <c r="Y257" s="166" t="s">
        <v>753</v>
      </c>
      <c r="Z257" s="59" t="str">
        <f>IF(OR($M257="",NOT($O257="{array}")),"",IFERROR(MATCH(PARAMETERS!$M257,DEFAULT!$B$5:$CI$5,0),""))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IF($AA257="","",IF($B257="I",VLOOKUP($AA257,#REF!,53,0),INDEX(VALUES!$B$1:$BQ$1,1,$AA257)))</f>
        <v/>
      </c>
    </row>
    <row r="258" spans="1:29" hidden="1" outlineLevel="1" x14ac:dyDescent="0.25">
      <c r="A258" s="22"/>
      <c r="B258" s="41" t="str">
        <f t="shared" si="24"/>
        <v/>
      </c>
      <c r="C258" s="42">
        <f t="shared" si="23"/>
        <v>257</v>
      </c>
      <c r="D258" s="38"/>
      <c r="E258" s="38"/>
      <c r="F258" s="38"/>
      <c r="G258" s="38"/>
      <c r="H258" s="38"/>
      <c r="I258" s="38" t="s">
        <v>9</v>
      </c>
      <c r="J258" s="38"/>
      <c r="K258" s="166" t="s">
        <v>100</v>
      </c>
      <c r="L258" s="167" t="s">
        <v>21</v>
      </c>
      <c r="M258" s="166" t="s">
        <v>754</v>
      </c>
      <c r="N258" s="166" t="s">
        <v>264</v>
      </c>
      <c r="O258" s="166" t="s">
        <v>755</v>
      </c>
      <c r="P258" s="160" t="s">
        <v>264</v>
      </c>
      <c r="Q258" s="160" t="s">
        <v>9</v>
      </c>
      <c r="R258" s="160" t="s">
        <v>103</v>
      </c>
      <c r="S258" s="160" t="s">
        <v>112</v>
      </c>
      <c r="T258" s="166" t="s">
        <v>264</v>
      </c>
      <c r="U258" s="166" t="s">
        <v>264</v>
      </c>
      <c r="V258" s="166" t="s">
        <v>754</v>
      </c>
      <c r="W258" s="15" t="str">
        <f>IF(IFERROR(VLOOKUP($M258,#REF!,1,0),"-")="-","","GS")</f>
        <v/>
      </c>
      <c r="X258" s="160" t="s">
        <v>264</v>
      </c>
      <c r="Y258" s="166" t="s">
        <v>756</v>
      </c>
      <c r="Z258" s="59" t="str">
        <f>IF(OR($M258="",NOT($O258="{array}")),"",IFERROR(MATCH(PARAMETERS!$M258,DEFAULT!$B$5:$CI$5,0),""))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IF($AA258="","",IF($B258="I",VLOOKUP($AA258,#REF!,53,0),INDEX(VALUES!$B$1:$BQ$1,1,$AA258)))</f>
        <v/>
      </c>
    </row>
    <row r="259" spans="1:29" hidden="1" outlineLevel="1" x14ac:dyDescent="0.25">
      <c r="A259" s="22"/>
      <c r="B259" s="41" t="str">
        <f t="shared" si="24"/>
        <v/>
      </c>
      <c r="C259" s="42">
        <f t="shared" si="23"/>
        <v>258</v>
      </c>
      <c r="D259" s="38"/>
      <c r="E259" s="38"/>
      <c r="F259" s="38"/>
      <c r="G259" s="38"/>
      <c r="H259" s="38"/>
      <c r="I259" s="38" t="s">
        <v>9</v>
      </c>
      <c r="J259" s="38"/>
      <c r="K259" s="166" t="s">
        <v>47</v>
      </c>
      <c r="L259" s="167" t="s">
        <v>21</v>
      </c>
      <c r="M259" s="166" t="s">
        <v>757</v>
      </c>
      <c r="N259" s="166" t="s">
        <v>264</v>
      </c>
      <c r="O259" s="166" t="s">
        <v>264</v>
      </c>
      <c r="P259" s="160" t="s">
        <v>264</v>
      </c>
      <c r="Q259" s="160" t="s">
        <v>9</v>
      </c>
      <c r="R259" s="160" t="s">
        <v>103</v>
      </c>
      <c r="S259" s="160" t="s">
        <v>112</v>
      </c>
      <c r="T259" s="166" t="s">
        <v>264</v>
      </c>
      <c r="U259" s="166" t="s">
        <v>264</v>
      </c>
      <c r="V259" s="166" t="s">
        <v>757</v>
      </c>
      <c r="W259" s="15" t="str">
        <f>IF(IFERROR(VLOOKUP($M259,#REF!,1,0),"-")="-","","GS")</f>
        <v/>
      </c>
      <c r="X259" s="160" t="s">
        <v>264</v>
      </c>
      <c r="Y259" s="166" t="s">
        <v>264</v>
      </c>
      <c r="Z259" s="59" t="str">
        <f>IF(OR($M259="",NOT($O259="{array}")),"",IFERROR(MATCH(PARAMETERS!$M259,DEFAULT!$B$5:$CI$5,0),""))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IF($AA259="","",IF($B259="I",VLOOKUP($AA259,#REF!,53,0),INDEX(VALUES!$B$1:$BQ$1,1,$AA259)))</f>
        <v/>
      </c>
    </row>
    <row r="260" spans="1:29" hidden="1" outlineLevel="1" x14ac:dyDescent="0.3">
      <c r="A260" s="22" t="s">
        <v>84</v>
      </c>
      <c r="B260" s="41" t="str">
        <f t="shared" si="24"/>
        <v/>
      </c>
      <c r="C260" s="42">
        <f t="shared" si="23"/>
        <v>259</v>
      </c>
      <c r="D260" s="38"/>
      <c r="E260" s="38"/>
      <c r="F260" s="38" t="s">
        <v>9</v>
      </c>
      <c r="G260" s="38"/>
      <c r="H260" s="38"/>
      <c r="I260" s="38" t="s">
        <v>9</v>
      </c>
      <c r="J260" s="38"/>
      <c r="K260" s="14" t="s">
        <v>18</v>
      </c>
      <c r="L260" s="14" t="s">
        <v>21</v>
      </c>
      <c r="M260" s="20" t="s">
        <v>758</v>
      </c>
      <c r="N260" s="14" t="s">
        <v>759</v>
      </c>
      <c r="Q260" s="38" t="s">
        <v>9</v>
      </c>
      <c r="R260" s="38" t="s">
        <v>104</v>
      </c>
      <c r="S260" s="38"/>
      <c r="T260" s="38"/>
      <c r="W260" s="15" t="str">
        <f>IF(IFERROR(VLOOKUP($M260,#REF!,1,0),"-")="-","","GS")</f>
        <v/>
      </c>
      <c r="Z260" s="59" t="str">
        <f>IF(OR($M260="",NOT($O260="{array}")),"",IFERROR(MATCH(PARAMETERS!$M260,DEFAULT!$B$5:$CI$5,0),""))</f>
        <v/>
      </c>
      <c r="AA260" s="56" t="str">
        <f t="shared" si="22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IF($AA260="","",IF($B260="I",VLOOKUP($AA260,#REF!,53,0),INDEX(VALUES!$B$1:$BQ$1,1,$AA260)))</f>
        <v/>
      </c>
    </row>
    <row r="261" spans="1:29" collapsed="1" x14ac:dyDescent="0.3">
      <c r="A261" s="22" t="s">
        <v>188</v>
      </c>
      <c r="B261" s="41"/>
      <c r="C261" s="42"/>
      <c r="D261" s="38"/>
      <c r="E261" s="38"/>
      <c r="F261" s="38"/>
      <c r="G261" s="38"/>
      <c r="H261" s="38"/>
      <c r="I261" s="38"/>
      <c r="J261" s="38"/>
      <c r="R261" s="38"/>
      <c r="S261" s="38"/>
      <c r="T261" s="38"/>
      <c r="W261" s="15" t="str">
        <f>IF(IFERROR(VLOOKUP($M261,#REF!,1,0),"-")="-","","GS")</f>
        <v/>
      </c>
      <c r="Z261" s="59" t="str">
        <f>IF(OR($M261="",NOT($O261="{array}")),"",IFERROR(MATCH(PARAMETERS!$M261,DEFAULT!$B$5:$CI$5,0),""))</f>
        <v/>
      </c>
      <c r="AA261" s="56" t="str">
        <f t="shared" ref="AA261:AA294" si="25">IF($M261="","",IFERROR(MATCH($M261,VALUESnames,0),""))</f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IF($AA261="","",IF($B261="I",VLOOKUP($AA261,#REF!,53,0),INDEX(VALUES!$B$1:$BQ$1,1,$AA261)))</f>
        <v/>
      </c>
    </row>
    <row r="262" spans="1:29" x14ac:dyDescent="0.3">
      <c r="A262" s="22" t="s">
        <v>84</v>
      </c>
      <c r="B262" s="41" t="str">
        <f t="shared" ref="B262:B313" si="26">IF($A262="P",IF(NOT($Z262=""),"A",IF(NOT($AA262=""),"I","")),IF(NOT($AA262=""),IF($A262="G","V","X"),IF(NOT($Z262=""),"A","")))</f>
        <v/>
      </c>
      <c r="C262" s="42">
        <f t="shared" ref="C262:C295" si="27">(ROW()-1)</f>
        <v>261</v>
      </c>
      <c r="D262" s="38"/>
      <c r="E262" s="38"/>
      <c r="F262" s="38" t="s">
        <v>9</v>
      </c>
      <c r="G262" s="38" t="s">
        <v>9</v>
      </c>
      <c r="H262" s="38"/>
      <c r="I262" s="38"/>
      <c r="J262" s="38"/>
      <c r="K262" s="14" t="s">
        <v>57</v>
      </c>
      <c r="L262" s="14" t="s">
        <v>38</v>
      </c>
      <c r="M262" s="48" t="s">
        <v>189</v>
      </c>
      <c r="N262" s="41" t="s">
        <v>190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IF(OR($M262="",NOT($O262="{array}")),"",IFERROR(MATCH(PARAMETERS!$M262,DEFAULT!$B$5:$CI$5,0),""))</f>
        <v/>
      </c>
      <c r="AA262" s="56" t="str">
        <f t="shared" si="2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IF($AA262="","",IF($B262="I",VLOOKUP($AA262,#REF!,53,0),INDEX(VALUES!$B$1:$BQ$1,1,$AA262)))</f>
        <v/>
      </c>
    </row>
    <row r="263" spans="1:29" x14ac:dyDescent="0.3">
      <c r="A263" s="22" t="s">
        <v>84</v>
      </c>
      <c r="B263" s="41" t="str">
        <f t="shared" si="26"/>
        <v/>
      </c>
      <c r="C263" s="42">
        <f t="shared" si="27"/>
        <v>262</v>
      </c>
      <c r="D263" s="38"/>
      <c r="E263" s="38"/>
      <c r="F263" s="38" t="s">
        <v>9</v>
      </c>
      <c r="G263" s="38"/>
      <c r="H263" s="38"/>
      <c r="I263" s="38"/>
      <c r="J263" s="38"/>
      <c r="K263" s="14" t="s">
        <v>57</v>
      </c>
      <c r="L263" s="14" t="s">
        <v>38</v>
      </c>
      <c r="M263" s="48" t="s">
        <v>191</v>
      </c>
      <c r="N263" s="41" t="s">
        <v>192</v>
      </c>
      <c r="R263" s="38" t="s">
        <v>104</v>
      </c>
      <c r="S263" s="38"/>
      <c r="T263" s="38"/>
      <c r="W263" s="15" t="str">
        <f>IF(IFERROR(VLOOKUP($M263,#REF!,1,0),"-")="-","","GS")</f>
        <v/>
      </c>
      <c r="Z263" s="59" t="str">
        <f>IF(OR($M263="",NOT($O263="{array}")),"",IFERROR(MATCH(PARAMETERS!$M263,DEFAULT!$B$5:$CI$5,0),""))</f>
        <v/>
      </c>
      <c r="AA263" s="56" t="str">
        <f t="shared" si="2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IF($AA263="","",IF($B263="I",VLOOKUP($AA263,#REF!,53,0),INDEX(VALUES!$B$1:$BQ$1,1,$AA263)))</f>
        <v/>
      </c>
    </row>
    <row r="264" spans="1:29" hidden="1" outlineLevel="1" x14ac:dyDescent="0.3">
      <c r="A264" s="22" t="s">
        <v>84</v>
      </c>
      <c r="B264" s="41" t="str">
        <f t="shared" si="26"/>
        <v>A</v>
      </c>
      <c r="C264" s="42">
        <f t="shared" si="27"/>
        <v>263</v>
      </c>
      <c r="D264" s="38"/>
      <c r="E264" s="38"/>
      <c r="F264" s="38"/>
      <c r="G264" s="38"/>
      <c r="H264" s="38"/>
      <c r="I264" s="38" t="s">
        <v>9</v>
      </c>
      <c r="J264" s="38"/>
      <c r="K264" s="14" t="s">
        <v>52</v>
      </c>
      <c r="L264" s="14" t="s">
        <v>27</v>
      </c>
      <c r="M264" s="151" t="s">
        <v>193</v>
      </c>
      <c r="N264" s="14" t="s">
        <v>194</v>
      </c>
      <c r="O264" s="43" t="s">
        <v>33</v>
      </c>
      <c r="R264" s="38" t="s">
        <v>195</v>
      </c>
      <c r="S264" s="38"/>
      <c r="T264" s="38"/>
      <c r="W264" s="15" t="str">
        <f>IF(IFERROR(VLOOKUP($M264,#REF!,1,0),"-")="-","","GS")</f>
        <v/>
      </c>
      <c r="Z264" s="59">
        <f>IF(OR($M264="",NOT($O264="{array}")),"",IFERROR(MATCH(PARAMETERS!$M264,DEFAULT!$B$5:$CI$5,0),""))</f>
        <v>81</v>
      </c>
      <c r="AA264" s="56" t="str">
        <f t="shared" si="25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IF($AA264="","",IF($B264="I",VLOOKUP($AA264,#REF!,53,0),INDEX(VALUES!$B$1:$BQ$1,1,$AA264)))</f>
        <v/>
      </c>
    </row>
    <row r="265" spans="1:29" collapsed="1" x14ac:dyDescent="0.3">
      <c r="A265" s="22" t="s">
        <v>84</v>
      </c>
      <c r="B265" s="41" t="str">
        <f t="shared" si="26"/>
        <v/>
      </c>
      <c r="C265" s="42">
        <f t="shared" si="27"/>
        <v>264</v>
      </c>
      <c r="D265" s="38"/>
      <c r="E265" s="38"/>
      <c r="F265" s="38" t="s">
        <v>9</v>
      </c>
      <c r="G265" s="38"/>
      <c r="H265" s="38"/>
      <c r="I265" s="38"/>
      <c r="J265" s="38"/>
      <c r="K265" s="14" t="s">
        <v>57</v>
      </c>
      <c r="L265" s="14" t="s">
        <v>38</v>
      </c>
      <c r="M265" s="48" t="s">
        <v>196</v>
      </c>
      <c r="N265" s="41" t="s">
        <v>197</v>
      </c>
      <c r="R265" s="38" t="s">
        <v>104</v>
      </c>
      <c r="S265" s="38"/>
      <c r="T265" s="38"/>
      <c r="W265" s="15" t="str">
        <f>IF(IFERROR(VLOOKUP($M265,#REF!,1,0),"-")="-","","GS")</f>
        <v/>
      </c>
      <c r="Z265" s="59" t="str">
        <f>IF(OR($M265="",NOT($O265="{array}")),"",IFERROR(MATCH(PARAMETERS!$M265,DEFAULT!$B$5:$CI$5,0),""))</f>
        <v/>
      </c>
      <c r="AA265" s="56" t="str">
        <f t="shared" si="25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IF($AA265="","",IF($B265="I",VLOOKUP($AA265,#REF!,53,0),INDEX(VALUES!$B$1:$BQ$1,1,$AA265)))</f>
        <v/>
      </c>
    </row>
    <row r="266" spans="1:29" hidden="1" outlineLevel="1" x14ac:dyDescent="0.3">
      <c r="A266" s="22" t="s">
        <v>84</v>
      </c>
      <c r="B266" s="41" t="str">
        <f t="shared" si="26"/>
        <v>A</v>
      </c>
      <c r="C266" s="42">
        <f t="shared" si="27"/>
        <v>265</v>
      </c>
      <c r="D266" s="38"/>
      <c r="E266" s="38"/>
      <c r="F266" s="38"/>
      <c r="G266" s="38"/>
      <c r="H266" s="38"/>
      <c r="I266" s="38" t="s">
        <v>9</v>
      </c>
      <c r="J266" s="38"/>
      <c r="K266" s="14" t="s">
        <v>53</v>
      </c>
      <c r="L266" s="14" t="s">
        <v>27</v>
      </c>
      <c r="M266" s="151" t="s">
        <v>198</v>
      </c>
      <c r="N266" s="14" t="s">
        <v>199</v>
      </c>
      <c r="O266" s="43" t="s">
        <v>33</v>
      </c>
      <c r="R266" s="38" t="s">
        <v>195</v>
      </c>
      <c r="S266" s="38"/>
      <c r="T266" s="38"/>
      <c r="W266" s="15" t="str">
        <f>IF(IFERROR(VLOOKUP($M266,#REF!,1,0),"-")="-","","GS")</f>
        <v/>
      </c>
      <c r="Z266" s="59">
        <f>IF(OR($M266="",NOT($O266="{array}")),"",IFERROR(MATCH(PARAMETERS!$M266,DEFAULT!$B$5:$CI$5,0),""))</f>
        <v>75</v>
      </c>
      <c r="AA266" s="56" t="str">
        <f t="shared" si="2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IF($AA266="","",IF($B266="I",VLOOKUP($AA266,#REF!,53,0),INDEX(VALUES!$B$1:$BQ$1,1,$AA266)))</f>
        <v/>
      </c>
    </row>
    <row r="267" spans="1:29" hidden="1" outlineLevel="1" x14ac:dyDescent="0.3">
      <c r="A267" s="22" t="s">
        <v>84</v>
      </c>
      <c r="B267" s="41" t="str">
        <f t="shared" si="26"/>
        <v>A</v>
      </c>
      <c r="C267" s="42">
        <f t="shared" si="27"/>
        <v>266</v>
      </c>
      <c r="D267" s="38"/>
      <c r="E267" s="38"/>
      <c r="F267" s="38"/>
      <c r="G267" s="38"/>
      <c r="H267" s="38"/>
      <c r="I267" s="38" t="s">
        <v>9</v>
      </c>
      <c r="J267" s="38"/>
      <c r="K267" s="14" t="s">
        <v>53</v>
      </c>
      <c r="L267" s="14" t="s">
        <v>27</v>
      </c>
      <c r="M267" s="151" t="s">
        <v>200</v>
      </c>
      <c r="N267" s="14" t="s">
        <v>201</v>
      </c>
      <c r="O267" s="43" t="s">
        <v>33</v>
      </c>
      <c r="R267" s="38" t="s">
        <v>195</v>
      </c>
      <c r="S267" s="38"/>
      <c r="T267" s="38"/>
      <c r="W267" s="15" t="str">
        <f>IF(IFERROR(VLOOKUP($M267,#REF!,1,0),"-")="-","","GS")</f>
        <v/>
      </c>
      <c r="Z267" s="59">
        <f>IF(OR($M267="",NOT($O267="{array}")),"",IFERROR(MATCH(PARAMETERS!$M267,DEFAULT!$B$5:$CI$5,0),""))</f>
        <v>77</v>
      </c>
      <c r="AA267" s="56" t="str">
        <f t="shared" si="2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IF($AA267="","",IF($B267="I",VLOOKUP($AA267,#REF!,53,0),INDEX(VALUES!$B$1:$BQ$1,1,$AA267)))</f>
        <v/>
      </c>
    </row>
    <row r="268" spans="1:29" hidden="1" outlineLevel="1" x14ac:dyDescent="0.3">
      <c r="A268" s="22" t="s">
        <v>84</v>
      </c>
      <c r="B268" s="41" t="str">
        <f t="shared" si="26"/>
        <v>A</v>
      </c>
      <c r="C268" s="42">
        <f t="shared" si="27"/>
        <v>267</v>
      </c>
      <c r="D268" s="38"/>
      <c r="E268" s="38"/>
      <c r="F268" s="38"/>
      <c r="G268" s="38"/>
      <c r="H268" s="38"/>
      <c r="I268" s="38" t="s">
        <v>9</v>
      </c>
      <c r="J268" s="38"/>
      <c r="K268" s="14" t="s">
        <v>53</v>
      </c>
      <c r="L268" s="14" t="s">
        <v>27</v>
      </c>
      <c r="M268" s="151" t="s">
        <v>202</v>
      </c>
      <c r="N268" s="14" t="s">
        <v>203</v>
      </c>
      <c r="O268" s="43" t="s">
        <v>33</v>
      </c>
      <c r="R268" s="38" t="s">
        <v>195</v>
      </c>
      <c r="S268" s="38"/>
      <c r="T268" s="38"/>
      <c r="W268" s="15" t="str">
        <f>IF(IFERROR(VLOOKUP($M268,#REF!,1,0),"-")="-","","GS")</f>
        <v/>
      </c>
      <c r="Z268" s="59">
        <f>IF(OR($M268="",NOT($O268="{array}")),"",IFERROR(MATCH(PARAMETERS!$M268,DEFAULT!$B$5:$CI$5,0),""))</f>
        <v>79</v>
      </c>
      <c r="AA268" s="56" t="str">
        <f t="shared" si="25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IF($AA268="","",IF($B268="I",VLOOKUP($AA268,#REF!,53,0),INDEX(VALUES!$B$1:$BQ$1,1,$AA268)))</f>
        <v/>
      </c>
    </row>
    <row r="269" spans="1:29" hidden="1" outlineLevel="1" x14ac:dyDescent="0.3">
      <c r="A269" s="22" t="s">
        <v>84</v>
      </c>
      <c r="B269" s="41" t="str">
        <f t="shared" si="26"/>
        <v/>
      </c>
      <c r="C269" s="42">
        <f t="shared" si="27"/>
        <v>268</v>
      </c>
      <c r="D269" s="38"/>
      <c r="E269" s="38"/>
      <c r="F269" s="38" t="s">
        <v>9</v>
      </c>
      <c r="G269" s="38"/>
      <c r="H269" s="38"/>
      <c r="I269" s="38" t="s">
        <v>9</v>
      </c>
      <c r="J269" s="38"/>
      <c r="K269" s="14" t="s">
        <v>53</v>
      </c>
      <c r="L269" s="14" t="s">
        <v>27</v>
      </c>
      <c r="M269" s="20" t="s">
        <v>760</v>
      </c>
      <c r="N269" s="14" t="s">
        <v>761</v>
      </c>
      <c r="O269" s="43">
        <v>2</v>
      </c>
      <c r="R269" s="38" t="s">
        <v>104</v>
      </c>
      <c r="S269" s="38"/>
      <c r="T269" s="38"/>
      <c r="W269" s="15" t="str">
        <f>IF(IFERROR(VLOOKUP($M269,#REF!,1,0),"-")="-","","GS")</f>
        <v/>
      </c>
      <c r="Z269" s="59" t="str">
        <f>IF(OR($M269="",NOT($O269="{array}")),"",IFERROR(MATCH(PARAMETERS!$M269,DEFAULT!$B$5:$CI$5,0),""))</f>
        <v/>
      </c>
      <c r="AA269" s="56" t="str">
        <f t="shared" si="25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IF($AA269="","",IF($B269="I",VLOOKUP($AA269,#REF!,53,0),INDEX(VALUES!$B$1:$BQ$1,1,$AA269)))</f>
        <v/>
      </c>
    </row>
    <row r="270" spans="1:29" hidden="1" outlineLevel="1" x14ac:dyDescent="0.3">
      <c r="A270" s="22" t="s">
        <v>84</v>
      </c>
      <c r="B270" s="41" t="str">
        <f t="shared" si="26"/>
        <v/>
      </c>
      <c r="C270" s="42">
        <f t="shared" si="27"/>
        <v>269</v>
      </c>
      <c r="D270" s="38"/>
      <c r="E270" s="38"/>
      <c r="F270" s="38" t="s">
        <v>9</v>
      </c>
      <c r="G270" s="38"/>
      <c r="H270" s="38"/>
      <c r="I270" s="38" t="s">
        <v>9</v>
      </c>
      <c r="J270" s="38"/>
      <c r="K270" s="14" t="s">
        <v>53</v>
      </c>
      <c r="L270" s="14" t="s">
        <v>27</v>
      </c>
      <c r="M270" s="20" t="s">
        <v>762</v>
      </c>
      <c r="N270" s="14" t="s">
        <v>763</v>
      </c>
      <c r="O270" s="43">
        <v>2</v>
      </c>
      <c r="R270" s="38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IF(OR($M270="",NOT($O270="{array}")),"",IFERROR(MATCH(PARAMETERS!$M270,DEFAULT!$B$5:$CI$5,0),""))</f>
        <v/>
      </c>
      <c r="AA270" s="56" t="str">
        <f t="shared" si="25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IF($AA270="","",IF($B270="I",VLOOKUP($AA270,#REF!,53,0),INDEX(VALUES!$B$1:$BQ$1,1,$AA270)))</f>
        <v/>
      </c>
    </row>
    <row r="271" spans="1:29" hidden="1" outlineLevel="1" x14ac:dyDescent="0.3">
      <c r="A271" s="22" t="s">
        <v>84</v>
      </c>
      <c r="B271" s="41" t="str">
        <f t="shared" si="26"/>
        <v/>
      </c>
      <c r="C271" s="42">
        <f t="shared" si="27"/>
        <v>270</v>
      </c>
      <c r="D271" s="38"/>
      <c r="E271" s="38"/>
      <c r="F271" s="38"/>
      <c r="G271" s="38"/>
      <c r="H271" s="38"/>
      <c r="I271" s="38" t="s">
        <v>9</v>
      </c>
      <c r="J271" s="38"/>
      <c r="K271" s="14" t="s">
        <v>52</v>
      </c>
      <c r="L271" s="14" t="s">
        <v>27</v>
      </c>
      <c r="M271" s="20" t="s">
        <v>764</v>
      </c>
      <c r="N271" s="14" t="s">
        <v>765</v>
      </c>
      <c r="O271" s="43">
        <v>65</v>
      </c>
      <c r="R271" s="38" t="s">
        <v>104</v>
      </c>
      <c r="S271" s="38"/>
      <c r="T271" s="38"/>
      <c r="W271" s="15" t="str">
        <f>IF(IFERROR(VLOOKUP($M271,#REF!,1,0),"-")="-","","GS")</f>
        <v/>
      </c>
      <c r="Z271" s="59" t="str">
        <f>IF(OR($M271="",NOT($O271="{array}")),"",IFERROR(MATCH(PARAMETERS!$M271,DEFAULT!$B$5:$CI$5,0),""))</f>
        <v/>
      </c>
      <c r="AA271" s="56" t="str">
        <f t="shared" si="25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IF($AA271="","",IF($B271="I",VLOOKUP($AA271,#REF!,53,0),INDEX(VALUES!$B$1:$BQ$1,1,$AA271)))</f>
        <v/>
      </c>
    </row>
    <row r="272" spans="1:29" hidden="1" outlineLevel="1" x14ac:dyDescent="0.3">
      <c r="A272" s="22" t="s">
        <v>84</v>
      </c>
      <c r="B272" s="41" t="str">
        <f t="shared" si="26"/>
        <v/>
      </c>
      <c r="C272" s="42">
        <f t="shared" si="27"/>
        <v>271</v>
      </c>
      <c r="D272" s="38"/>
      <c r="E272" s="38"/>
      <c r="F272" s="38"/>
      <c r="G272" s="38"/>
      <c r="H272" s="38"/>
      <c r="I272" s="38" t="s">
        <v>9</v>
      </c>
      <c r="J272" s="38"/>
      <c r="K272" s="14" t="s">
        <v>53</v>
      </c>
      <c r="L272" s="14" t="s">
        <v>27</v>
      </c>
      <c r="M272" s="20" t="s">
        <v>766</v>
      </c>
      <c r="N272" s="14" t="s">
        <v>767</v>
      </c>
      <c r="O272" s="43">
        <v>19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IF(OR($M272="",NOT($O272="{array}")),"",IFERROR(MATCH(PARAMETERS!$M272,DEFAULT!$B$5:$CI$5,0),""))</f>
        <v/>
      </c>
      <c r="AA272" s="56" t="str">
        <f t="shared" si="25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IF($AA272="","",IF($B272="I",VLOOKUP($AA272,#REF!,53,0),INDEX(VALUES!$B$1:$BQ$1,1,$AA272)))</f>
        <v/>
      </c>
    </row>
    <row r="273" spans="1:29" hidden="1" outlineLevel="1" x14ac:dyDescent="0.3">
      <c r="A273" s="22" t="s">
        <v>84</v>
      </c>
      <c r="B273" s="41" t="str">
        <f t="shared" si="26"/>
        <v/>
      </c>
      <c r="C273" s="42">
        <f t="shared" si="27"/>
        <v>272</v>
      </c>
      <c r="D273" s="38"/>
      <c r="E273" s="38"/>
      <c r="F273" s="38"/>
      <c r="G273" s="38"/>
      <c r="H273" s="38"/>
      <c r="I273" s="38" t="s">
        <v>9</v>
      </c>
      <c r="J273" s="38"/>
      <c r="K273" s="14" t="s">
        <v>53</v>
      </c>
      <c r="L273" s="14" t="s">
        <v>27</v>
      </c>
      <c r="M273" s="20" t="s">
        <v>768</v>
      </c>
      <c r="N273" s="14" t="s">
        <v>769</v>
      </c>
      <c r="O273" s="43">
        <v>19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IF(OR($M273="",NOT($O273="{array}")),"",IFERROR(MATCH(PARAMETERS!$M273,DEFAULT!$B$5:$CI$5,0),""))</f>
        <v/>
      </c>
      <c r="AA273" s="56" t="str">
        <f t="shared" si="25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IF($AA273="","",IF($B273="I",VLOOKUP($AA273,#REF!,53,0),INDEX(VALUES!$B$1:$BQ$1,1,$AA273)))</f>
        <v/>
      </c>
    </row>
    <row r="274" spans="1:29" hidden="1" outlineLevel="1" x14ac:dyDescent="0.3">
      <c r="A274" s="22" t="s">
        <v>84</v>
      </c>
      <c r="B274" s="41" t="str">
        <f t="shared" si="26"/>
        <v/>
      </c>
      <c r="C274" s="42">
        <f t="shared" si="27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53</v>
      </c>
      <c r="L274" s="14" t="s">
        <v>27</v>
      </c>
      <c r="M274" s="20" t="s">
        <v>770</v>
      </c>
      <c r="N274" s="14" t="s">
        <v>771</v>
      </c>
      <c r="O274" s="43">
        <v>2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IF(OR($M274="",NOT($O274="{array}")),"",IFERROR(MATCH(PARAMETERS!$M274,DEFAULT!$B$5:$CI$5,0),""))</f>
        <v/>
      </c>
      <c r="AA274" s="56" t="str">
        <f t="shared" si="25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IF($AA274="","",IF($B274="I",VLOOKUP($AA274,#REF!,53,0),INDEX(VALUES!$B$1:$BQ$1,1,$AA274)))</f>
        <v/>
      </c>
    </row>
    <row r="275" spans="1:29" hidden="1" outlineLevel="1" x14ac:dyDescent="0.3">
      <c r="A275" s="22" t="s">
        <v>84</v>
      </c>
      <c r="B275" s="41" t="str">
        <f t="shared" si="26"/>
        <v/>
      </c>
      <c r="C275" s="42">
        <f t="shared" si="27"/>
        <v>274</v>
      </c>
      <c r="D275" s="38"/>
      <c r="E275" s="38"/>
      <c r="F275" s="38"/>
      <c r="G275" s="38"/>
      <c r="H275" s="38"/>
      <c r="I275" s="38" t="s">
        <v>9</v>
      </c>
      <c r="J275" s="38"/>
      <c r="K275" s="14" t="s">
        <v>52</v>
      </c>
      <c r="L275" s="14" t="s">
        <v>27</v>
      </c>
      <c r="M275" s="20" t="s">
        <v>772</v>
      </c>
      <c r="N275" s="14" t="s">
        <v>773</v>
      </c>
      <c r="O275" s="43">
        <v>16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IF(OR($M275="",NOT($O275="{array}")),"",IFERROR(MATCH(PARAMETERS!$M275,DEFAULT!$B$5:$CI$5,0),""))</f>
        <v/>
      </c>
      <c r="AA275" s="56" t="str">
        <f t="shared" si="25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IF($AA275="","",IF($B275="I",VLOOKUP($AA275,#REF!,53,0),INDEX(VALUES!$B$1:$BQ$1,1,$AA275)))</f>
        <v/>
      </c>
    </row>
    <row r="276" spans="1:29" hidden="1" outlineLevel="1" x14ac:dyDescent="0.3">
      <c r="A276" s="22" t="s">
        <v>84</v>
      </c>
      <c r="B276" s="41" t="str">
        <f t="shared" si="26"/>
        <v/>
      </c>
      <c r="C276" s="42">
        <f t="shared" si="27"/>
        <v>275</v>
      </c>
      <c r="D276" s="38"/>
      <c r="E276" s="38"/>
      <c r="F276" s="38"/>
      <c r="G276" s="38"/>
      <c r="H276" s="38"/>
      <c r="I276" s="38" t="s">
        <v>9</v>
      </c>
      <c r="J276" s="38"/>
      <c r="K276" s="14" t="s">
        <v>53</v>
      </c>
      <c r="L276" s="14" t="s">
        <v>27</v>
      </c>
      <c r="M276" s="20" t="s">
        <v>774</v>
      </c>
      <c r="N276" s="14" t="s">
        <v>775</v>
      </c>
      <c r="O276" s="43">
        <v>19</v>
      </c>
      <c r="R276" s="38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IF(OR($M276="",NOT($O276="{array}")),"",IFERROR(MATCH(PARAMETERS!$M276,DEFAULT!$B$5:$CI$5,0),""))</f>
        <v/>
      </c>
      <c r="AA276" s="56" t="str">
        <f t="shared" si="25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IF($AA276="","",IF($B276="I",VLOOKUP($AA276,#REF!,53,0),INDEX(VALUES!$B$1:$BQ$1,1,$AA276)))</f>
        <v/>
      </c>
    </row>
    <row r="277" spans="1:29" hidden="1" outlineLevel="1" x14ac:dyDescent="0.3">
      <c r="A277" s="22" t="s">
        <v>84</v>
      </c>
      <c r="B277" s="41" t="str">
        <f t="shared" si="26"/>
        <v/>
      </c>
      <c r="C277" s="42">
        <f t="shared" si="27"/>
        <v>276</v>
      </c>
      <c r="D277" s="38"/>
      <c r="E277" s="38"/>
      <c r="F277" s="38"/>
      <c r="G277" s="38"/>
      <c r="H277" s="38"/>
      <c r="I277" s="38" t="s">
        <v>9</v>
      </c>
      <c r="J277" s="38"/>
      <c r="K277" s="14" t="s">
        <v>53</v>
      </c>
      <c r="L277" s="14" t="s">
        <v>27</v>
      </c>
      <c r="M277" s="20" t="s">
        <v>776</v>
      </c>
      <c r="N277" s="14" t="s">
        <v>777</v>
      </c>
      <c r="O277" s="43">
        <v>19</v>
      </c>
      <c r="R277" s="38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IF(OR($M277="",NOT($O277="{array}")),"",IFERROR(MATCH(PARAMETERS!$M277,DEFAULT!$B$5:$CI$5,0),""))</f>
        <v/>
      </c>
      <c r="AA277" s="56" t="str">
        <f t="shared" si="25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IF($AA277="","",IF($B277="I",VLOOKUP($AA277,#REF!,53,0),INDEX(VALUES!$B$1:$BQ$1,1,$AA277)))</f>
        <v/>
      </c>
    </row>
    <row r="278" spans="1:29" hidden="1" outlineLevel="1" x14ac:dyDescent="0.3">
      <c r="A278" s="22" t="s">
        <v>84</v>
      </c>
      <c r="B278" s="41" t="str">
        <f t="shared" si="26"/>
        <v/>
      </c>
      <c r="C278" s="42">
        <f t="shared" si="27"/>
        <v>277</v>
      </c>
      <c r="D278" s="38"/>
      <c r="E278" s="38"/>
      <c r="F278" s="38"/>
      <c r="G278" s="38"/>
      <c r="H278" s="38"/>
      <c r="I278" s="38" t="s">
        <v>9</v>
      </c>
      <c r="J278" s="38"/>
      <c r="K278" s="14" t="s">
        <v>53</v>
      </c>
      <c r="L278" s="14" t="s">
        <v>27</v>
      </c>
      <c r="M278" s="20" t="s">
        <v>778</v>
      </c>
      <c r="N278" s="14" t="s">
        <v>779</v>
      </c>
      <c r="O278" s="43">
        <v>2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IF(OR($M278="",NOT($O278="{array}")),"",IFERROR(MATCH(PARAMETERS!$M278,DEFAULT!$B$5:$CI$5,0),""))</f>
        <v/>
      </c>
      <c r="AA278" s="56" t="str">
        <f t="shared" si="25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IF($AA278="","",IF($B278="I",VLOOKUP($AA278,#REF!,53,0),INDEX(VALUES!$B$1:$BQ$1,1,$AA278)))</f>
        <v/>
      </c>
    </row>
    <row r="279" spans="1:29" hidden="1" outlineLevel="1" x14ac:dyDescent="0.3">
      <c r="A279" s="22" t="s">
        <v>84</v>
      </c>
      <c r="B279" s="41" t="str">
        <f t="shared" si="26"/>
        <v/>
      </c>
      <c r="C279" s="42">
        <f t="shared" si="27"/>
        <v>278</v>
      </c>
      <c r="D279" s="38"/>
      <c r="E279" s="38"/>
      <c r="F279" s="38"/>
      <c r="G279" s="38" t="s">
        <v>9</v>
      </c>
      <c r="H279" s="38"/>
      <c r="I279" s="38" t="s">
        <v>9</v>
      </c>
      <c r="J279" s="38"/>
      <c r="K279" s="14" t="s">
        <v>52</v>
      </c>
      <c r="L279" s="14" t="s">
        <v>27</v>
      </c>
      <c r="M279" s="20" t="s">
        <v>780</v>
      </c>
      <c r="N279" s="14" t="s">
        <v>781</v>
      </c>
      <c r="O279" s="43">
        <v>65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IF(OR($M279="",NOT($O279="{array}")),"",IFERROR(MATCH(PARAMETERS!$M279,DEFAULT!$B$5:$CI$5,0),""))</f>
        <v/>
      </c>
      <c r="AA279" s="56" t="str">
        <f t="shared" si="25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IF($AA279="","",IF($B279="I",VLOOKUP($AA279,#REF!,53,0),INDEX(VALUES!$B$1:$BQ$1,1,$AA279)))</f>
        <v/>
      </c>
    </row>
    <row r="280" spans="1:29" hidden="1" outlineLevel="1" x14ac:dyDescent="0.3">
      <c r="A280" s="22" t="s">
        <v>84</v>
      </c>
      <c r="B280" s="41" t="str">
        <f t="shared" si="26"/>
        <v/>
      </c>
      <c r="C280" s="42">
        <f t="shared" si="27"/>
        <v>279</v>
      </c>
      <c r="D280" s="38"/>
      <c r="E280" s="38"/>
      <c r="F280" s="38"/>
      <c r="G280" s="38" t="s">
        <v>9</v>
      </c>
      <c r="H280" s="38"/>
      <c r="I280" s="38" t="s">
        <v>9</v>
      </c>
      <c r="J280" s="38"/>
      <c r="K280" s="14" t="s">
        <v>53</v>
      </c>
      <c r="L280" s="14" t="s">
        <v>27</v>
      </c>
      <c r="M280" s="20" t="s">
        <v>782</v>
      </c>
      <c r="N280" s="14" t="s">
        <v>783</v>
      </c>
      <c r="O280" s="43">
        <v>19</v>
      </c>
      <c r="R280" s="38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IF(OR($M280="",NOT($O280="{array}")),"",IFERROR(MATCH(PARAMETERS!$M280,DEFAULT!$B$5:$CI$5,0),""))</f>
        <v/>
      </c>
      <c r="AA280" s="56" t="str">
        <f t="shared" si="25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IF($AA280="","",IF($B280="I",VLOOKUP($AA280,#REF!,53,0),INDEX(VALUES!$B$1:$BQ$1,1,$AA280)))</f>
        <v/>
      </c>
    </row>
    <row r="281" spans="1:29" hidden="1" outlineLevel="1" x14ac:dyDescent="0.3">
      <c r="A281" s="22" t="s">
        <v>84</v>
      </c>
      <c r="B281" s="41" t="str">
        <f t="shared" si="26"/>
        <v/>
      </c>
      <c r="C281" s="42">
        <f t="shared" si="27"/>
        <v>280</v>
      </c>
      <c r="D281" s="38"/>
      <c r="E281" s="38"/>
      <c r="F281" s="38"/>
      <c r="G281" s="38" t="s">
        <v>9</v>
      </c>
      <c r="H281" s="38"/>
      <c r="I281" s="38" t="s">
        <v>9</v>
      </c>
      <c r="J281" s="38"/>
      <c r="K281" s="14" t="s">
        <v>53</v>
      </c>
      <c r="L281" s="14" t="s">
        <v>27</v>
      </c>
      <c r="M281" s="20" t="s">
        <v>784</v>
      </c>
      <c r="N281" s="14" t="s">
        <v>785</v>
      </c>
      <c r="O281" s="43">
        <v>19</v>
      </c>
      <c r="R281" s="38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IF(OR($M281="",NOT($O281="{array}")),"",IFERROR(MATCH(PARAMETERS!$M281,DEFAULT!$B$5:$CI$5,0),""))</f>
        <v/>
      </c>
      <c r="AA281" s="56" t="str">
        <f t="shared" si="25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IF($AA281="","",IF($B281="I",VLOOKUP($AA281,#REF!,53,0),INDEX(VALUES!$B$1:$BQ$1,1,$AA281)))</f>
        <v/>
      </c>
    </row>
    <row r="282" spans="1:29" hidden="1" outlineLevel="1" x14ac:dyDescent="0.3">
      <c r="A282" s="22" t="s">
        <v>84</v>
      </c>
      <c r="B282" s="41" t="str">
        <f t="shared" si="26"/>
        <v/>
      </c>
      <c r="C282" s="42">
        <f t="shared" si="27"/>
        <v>281</v>
      </c>
      <c r="D282" s="38"/>
      <c r="E282" s="38"/>
      <c r="F282" s="38"/>
      <c r="G282" s="38"/>
      <c r="H282" s="38"/>
      <c r="I282" s="38" t="s">
        <v>9</v>
      </c>
      <c r="J282" s="38"/>
      <c r="K282" s="14" t="s">
        <v>53</v>
      </c>
      <c r="L282" s="14" t="s">
        <v>27</v>
      </c>
      <c r="M282" s="20" t="s">
        <v>786</v>
      </c>
      <c r="N282" s="14" t="s">
        <v>787</v>
      </c>
      <c r="O282" s="43">
        <v>2</v>
      </c>
      <c r="R282" s="38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IF(OR($M282="",NOT($O282="{array}")),"",IFERROR(MATCH(PARAMETERS!$M282,DEFAULT!$B$5:$CI$5,0),""))</f>
        <v/>
      </c>
      <c r="AA282" s="56" t="str">
        <f t="shared" si="25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IF($AA282="","",IF($B282="I",VLOOKUP($AA282,#REF!,53,0),INDEX(VALUES!$B$1:$BQ$1,1,$AA282)))</f>
        <v/>
      </c>
    </row>
    <row r="283" spans="1:29" hidden="1" outlineLevel="1" x14ac:dyDescent="0.3">
      <c r="A283" s="22" t="s">
        <v>84</v>
      </c>
      <c r="B283" s="41" t="str">
        <f t="shared" si="26"/>
        <v/>
      </c>
      <c r="C283" s="42">
        <f t="shared" si="27"/>
        <v>282</v>
      </c>
      <c r="D283" s="38"/>
      <c r="E283" s="38"/>
      <c r="F283" s="38"/>
      <c r="G283" s="38"/>
      <c r="H283" s="38"/>
      <c r="I283" s="38" t="s">
        <v>9</v>
      </c>
      <c r="J283" s="38"/>
      <c r="K283" s="14" t="s">
        <v>52</v>
      </c>
      <c r="L283" s="14" t="s">
        <v>27</v>
      </c>
      <c r="M283" s="20" t="s">
        <v>788</v>
      </c>
      <c r="N283" s="14" t="s">
        <v>789</v>
      </c>
      <c r="O283" s="43">
        <v>65</v>
      </c>
      <c r="R283" s="38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IF(OR($M283="",NOT($O283="{array}")),"",IFERROR(MATCH(PARAMETERS!$M283,DEFAULT!$B$5:$CI$5,0),""))</f>
        <v/>
      </c>
      <c r="AA283" s="56" t="str">
        <f t="shared" si="25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IF($AA283="","",IF($B283="I",VLOOKUP($AA283,#REF!,53,0),INDEX(VALUES!$B$1:$BQ$1,1,$AA283)))</f>
        <v/>
      </c>
    </row>
    <row r="284" spans="1:29" hidden="1" outlineLevel="1" x14ac:dyDescent="0.3">
      <c r="A284" s="22" t="s">
        <v>84</v>
      </c>
      <c r="B284" s="41" t="str">
        <f t="shared" si="26"/>
        <v/>
      </c>
      <c r="C284" s="42">
        <f t="shared" si="27"/>
        <v>283</v>
      </c>
      <c r="D284" s="38"/>
      <c r="E284" s="38"/>
      <c r="F284" s="38"/>
      <c r="G284" s="38"/>
      <c r="H284" s="38"/>
      <c r="I284" s="38" t="s">
        <v>9</v>
      </c>
      <c r="J284" s="38"/>
      <c r="K284" s="14" t="s">
        <v>53</v>
      </c>
      <c r="L284" s="14" t="s">
        <v>27</v>
      </c>
      <c r="M284" s="20" t="s">
        <v>790</v>
      </c>
      <c r="N284" s="14" t="s">
        <v>791</v>
      </c>
      <c r="O284" s="43">
        <v>19</v>
      </c>
      <c r="R284" s="38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IF(OR($M284="",NOT($O284="{array}")),"",IFERROR(MATCH(PARAMETERS!$M284,DEFAULT!$B$5:$CI$5,0),""))</f>
        <v/>
      </c>
      <c r="AA284" s="56" t="str">
        <f t="shared" si="25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IF($AA284="","",IF($B284="I",VLOOKUP($AA284,#REF!,53,0),INDEX(VALUES!$B$1:$BQ$1,1,$AA284)))</f>
        <v/>
      </c>
    </row>
    <row r="285" spans="1:29" collapsed="1" x14ac:dyDescent="0.3">
      <c r="A285" s="22" t="s">
        <v>84</v>
      </c>
      <c r="B285" s="41" t="str">
        <f t="shared" si="26"/>
        <v/>
      </c>
      <c r="C285" s="42">
        <f t="shared" si="27"/>
        <v>284</v>
      </c>
      <c r="D285" s="38"/>
      <c r="E285" s="38"/>
      <c r="F285" s="38"/>
      <c r="G285" s="38"/>
      <c r="H285" s="38"/>
      <c r="I285" s="38"/>
      <c r="J285" s="38"/>
      <c r="K285" s="14" t="s">
        <v>57</v>
      </c>
      <c r="L285" s="14" t="s">
        <v>38</v>
      </c>
      <c r="M285" s="48" t="s">
        <v>1356</v>
      </c>
      <c r="N285" s="41" t="s">
        <v>1357</v>
      </c>
      <c r="R285" s="38" t="s">
        <v>104</v>
      </c>
      <c r="S285" s="38"/>
      <c r="T285" s="38"/>
      <c r="Z285" s="59" t="str">
        <f>IF(OR($M285="",NOT($O285="{array}")),"",IFERROR(MATCH(PARAMETERS!$M285,DEFAULT!$B$5:$CI$5,0),""))</f>
        <v/>
      </c>
      <c r="AA285" s="56" t="str">
        <f t="shared" si="25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IF($AA285="","",IF($B285="I",VLOOKUP($AA285,#REF!,53,0),INDEX(VALUES!$B$1:$BQ$1,1,$AA285)))</f>
        <v/>
      </c>
    </row>
    <row r="286" spans="1:29" x14ac:dyDescent="0.3">
      <c r="A286" s="22" t="s">
        <v>84</v>
      </c>
      <c r="B286" s="41" t="str">
        <f t="shared" si="26"/>
        <v>A</v>
      </c>
      <c r="C286" s="42">
        <f t="shared" si="27"/>
        <v>285</v>
      </c>
      <c r="D286" s="38"/>
      <c r="E286" s="38"/>
      <c r="F286" s="38"/>
      <c r="G286" s="38"/>
      <c r="H286" s="38"/>
      <c r="I286" s="38" t="s">
        <v>9</v>
      </c>
      <c r="J286" s="38"/>
      <c r="K286" s="14" t="s">
        <v>51</v>
      </c>
      <c r="L286" s="14" t="s">
        <v>27</v>
      </c>
      <c r="M286" s="151" t="s">
        <v>1354</v>
      </c>
      <c r="N286" s="14" t="s">
        <v>1358</v>
      </c>
      <c r="O286" s="43" t="s">
        <v>33</v>
      </c>
      <c r="R286" s="38" t="s">
        <v>195</v>
      </c>
      <c r="S286" s="38"/>
      <c r="T286" s="38"/>
      <c r="Z286" s="59">
        <f>IF(OR($M286="",NOT($O286="{array}")),"",IFERROR(MATCH(PARAMETERS!$M286,DEFAULT!$B$5:$CI$5,0),""))</f>
        <v>83</v>
      </c>
      <c r="AA286" s="56" t="str">
        <f t="shared" si="25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IF($AA286="","",IF($B286="I",VLOOKUP($AA286,#REF!,53,0),INDEX(VALUES!$B$1:$BQ$1,1,$AA286)))</f>
        <v/>
      </c>
    </row>
    <row r="287" spans="1:29" collapsed="1" x14ac:dyDescent="0.3">
      <c r="A287" s="22" t="s">
        <v>84</v>
      </c>
      <c r="B287" s="41" t="str">
        <f t="shared" si="26"/>
        <v/>
      </c>
      <c r="C287" s="42">
        <f t="shared" si="27"/>
        <v>286</v>
      </c>
      <c r="D287" s="38"/>
      <c r="E287" s="38"/>
      <c r="F287" s="38"/>
      <c r="G287" s="38"/>
      <c r="H287" s="38"/>
      <c r="I287" s="38"/>
      <c r="J287" s="38"/>
      <c r="K287" s="14" t="s">
        <v>57</v>
      </c>
      <c r="L287" s="14" t="s">
        <v>38</v>
      </c>
      <c r="M287" s="48" t="s">
        <v>792</v>
      </c>
      <c r="N287" s="41" t="s">
        <v>793</v>
      </c>
      <c r="R287" s="38" t="s">
        <v>104</v>
      </c>
      <c r="S287" s="38"/>
      <c r="T287" s="38"/>
      <c r="W287" s="15" t="str">
        <f>IF(IFERROR(VLOOKUP($M287,#REF!,1,0),"-")="-","","GS")</f>
        <v/>
      </c>
      <c r="Z287" s="59" t="str">
        <f>IF(OR($M287="",NOT($O287="{array}")),"",IFERROR(MATCH(PARAMETERS!$M287,DEFAULT!$B$5:$CI$5,0),""))</f>
        <v/>
      </c>
      <c r="AA287" s="56" t="str">
        <f t="shared" si="25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IF($AA287="","",IF($B287="I",VLOOKUP($AA287,#REF!,53,0),INDEX(VALUES!$B$1:$BQ$1,1,$AA287)))</f>
        <v/>
      </c>
    </row>
    <row r="288" spans="1:29" hidden="1" outlineLevel="1" x14ac:dyDescent="0.3">
      <c r="A288" s="22" t="s">
        <v>84</v>
      </c>
      <c r="B288" s="41" t="str">
        <f t="shared" si="26"/>
        <v/>
      </c>
      <c r="C288" s="42">
        <f t="shared" si="27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53</v>
      </c>
      <c r="L288" s="14" t="s">
        <v>27</v>
      </c>
      <c r="M288" s="20" t="s">
        <v>794</v>
      </c>
      <c r="N288" s="14" t="s">
        <v>795</v>
      </c>
      <c r="O288" s="43">
        <v>1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IF(OR($M288="",NOT($O288="{array}")),"",IFERROR(MATCH(PARAMETERS!$M288,DEFAULT!$B$5:$CI$5,0),""))</f>
        <v/>
      </c>
      <c r="AA288" s="56" t="str">
        <f t="shared" si="25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IF($AA288="","",IF($B288="I",VLOOKUP($AA288,#REF!,53,0),INDEX(VALUES!$B$1:$BQ$1,1,$AA288)))</f>
        <v/>
      </c>
    </row>
    <row r="289" spans="1:29" hidden="1" outlineLevel="1" x14ac:dyDescent="0.3">
      <c r="A289" s="22" t="s">
        <v>84</v>
      </c>
      <c r="B289" s="41" t="str">
        <f t="shared" si="26"/>
        <v/>
      </c>
      <c r="C289" s="42">
        <f t="shared" si="27"/>
        <v>288</v>
      </c>
      <c r="D289" s="38"/>
      <c r="E289" s="38"/>
      <c r="F289" s="38" t="s">
        <v>9</v>
      </c>
      <c r="G289" s="38"/>
      <c r="H289" s="38"/>
      <c r="I289" s="38" t="s">
        <v>9</v>
      </c>
      <c r="J289" s="38"/>
      <c r="K289" s="14" t="s">
        <v>53</v>
      </c>
      <c r="L289" s="14" t="s">
        <v>27</v>
      </c>
      <c r="M289" s="20" t="s">
        <v>796</v>
      </c>
      <c r="N289" s="14" t="s">
        <v>797</v>
      </c>
      <c r="O289" s="43">
        <v>1</v>
      </c>
      <c r="R289" s="38" t="s">
        <v>104</v>
      </c>
      <c r="S289" s="38"/>
      <c r="T289" s="38"/>
      <c r="W289" s="15" t="str">
        <f>IF(IFERROR(VLOOKUP($M289,#REF!,1,0),"-")="-","","GS")</f>
        <v/>
      </c>
      <c r="Z289" s="59" t="str">
        <f>IF(OR($M289="",NOT($O289="{array}")),"",IFERROR(MATCH(PARAMETERS!$M289,DEFAULT!$B$5:$CI$5,0),""))</f>
        <v/>
      </c>
      <c r="AA289" s="56" t="str">
        <f t="shared" si="25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IF($AA289="","",IF($B289="I",VLOOKUP($AA289,#REF!,53,0),INDEX(VALUES!$B$1:$BQ$1,1,$AA289)))</f>
        <v/>
      </c>
    </row>
    <row r="290" spans="1:29" hidden="1" outlineLevel="1" x14ac:dyDescent="0.3">
      <c r="A290" s="22" t="s">
        <v>84</v>
      </c>
      <c r="B290" s="41" t="str">
        <f t="shared" si="26"/>
        <v/>
      </c>
      <c r="C290" s="42">
        <f t="shared" si="27"/>
        <v>289</v>
      </c>
      <c r="D290" s="38"/>
      <c r="E290" s="38"/>
      <c r="F290" s="38" t="s">
        <v>9</v>
      </c>
      <c r="G290" s="38"/>
      <c r="H290" s="38"/>
      <c r="I290" s="38" t="s">
        <v>9</v>
      </c>
      <c r="J290" s="38"/>
      <c r="K290" s="14" t="s">
        <v>18</v>
      </c>
      <c r="L290" s="14" t="s">
        <v>27</v>
      </c>
      <c r="M290" s="20" t="s">
        <v>798</v>
      </c>
      <c r="N290" s="14" t="s">
        <v>799</v>
      </c>
      <c r="O290" s="43" t="s">
        <v>800</v>
      </c>
      <c r="R290" s="38" t="s">
        <v>104</v>
      </c>
      <c r="S290" s="38"/>
      <c r="T290" s="38"/>
      <c r="W290" s="15" t="str">
        <f>IF(IFERROR(VLOOKUP($M290,#REF!,1,0),"-")="-","","GS")</f>
        <v/>
      </c>
      <c r="Z290" s="59" t="str">
        <f>IF(OR($M290="",NOT($O290="{array}")),"",IFERROR(MATCH(PARAMETERS!$M290,DEFAULT!$B$5:$CI$5,0),""))</f>
        <v/>
      </c>
      <c r="AA290" s="56" t="str">
        <f t="shared" si="25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IF($AA290="","",IF($B290="I",VLOOKUP($AA290,#REF!,53,0),INDEX(VALUES!$B$1:$BQ$1,1,$AA290)))</f>
        <v/>
      </c>
    </row>
    <row r="291" spans="1:29" hidden="1" outlineLevel="1" x14ac:dyDescent="0.3">
      <c r="A291" s="22" t="s">
        <v>84</v>
      </c>
      <c r="B291" s="41" t="str">
        <f t="shared" si="26"/>
        <v/>
      </c>
      <c r="C291" s="42">
        <f t="shared" si="27"/>
        <v>290</v>
      </c>
      <c r="D291" s="38"/>
      <c r="E291" s="38"/>
      <c r="F291" s="38" t="s">
        <v>9</v>
      </c>
      <c r="G291" s="38"/>
      <c r="H291" s="38"/>
      <c r="I291" s="38" t="s">
        <v>9</v>
      </c>
      <c r="J291" s="38"/>
      <c r="K291" s="14" t="s">
        <v>36</v>
      </c>
      <c r="L291" s="14" t="s">
        <v>27</v>
      </c>
      <c r="M291" s="20" t="s">
        <v>801</v>
      </c>
      <c r="N291" s="14" t="s">
        <v>802</v>
      </c>
      <c r="O291" s="43">
        <v>1</v>
      </c>
      <c r="R291" s="38" t="s">
        <v>104</v>
      </c>
      <c r="S291" s="38"/>
      <c r="T291" s="38"/>
      <c r="W291" s="15" t="str">
        <f>IF(IFERROR(VLOOKUP($M291,#REF!,1,0),"-")="-","","GS")</f>
        <v/>
      </c>
      <c r="Z291" s="59" t="str">
        <f>IF(OR($M291="",NOT($O291="{array}")),"",IFERROR(MATCH(PARAMETERS!$M291,DEFAULT!$B$5:$CI$5,0),""))</f>
        <v/>
      </c>
      <c r="AA291" s="56" t="str">
        <f t="shared" si="25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IF($AA291="","",IF($B291="I",VLOOKUP($AA291,#REF!,53,0),INDEX(VALUES!$B$1:$BQ$1,1,$AA291)))</f>
        <v/>
      </c>
    </row>
    <row r="292" spans="1:29" hidden="1" outlineLevel="1" x14ac:dyDescent="0.3">
      <c r="A292" s="22" t="s">
        <v>84</v>
      </c>
      <c r="B292" s="41" t="str">
        <f t="shared" si="26"/>
        <v/>
      </c>
      <c r="C292" s="42">
        <f t="shared" si="27"/>
        <v>291</v>
      </c>
      <c r="D292" s="38"/>
      <c r="E292" s="38"/>
      <c r="F292" s="38" t="s">
        <v>9</v>
      </c>
      <c r="G292" s="38"/>
      <c r="H292" s="38" t="s">
        <v>9</v>
      </c>
      <c r="I292" s="38"/>
      <c r="J292" s="38"/>
      <c r="K292" s="14" t="s">
        <v>47</v>
      </c>
      <c r="L292" s="14" t="s">
        <v>27</v>
      </c>
      <c r="M292" s="20" t="s">
        <v>803</v>
      </c>
      <c r="N292" s="14" t="s">
        <v>804</v>
      </c>
      <c r="O292" s="43">
        <v>0</v>
      </c>
      <c r="R292" s="38" t="s">
        <v>104</v>
      </c>
      <c r="S292" s="38"/>
      <c r="T292" s="38"/>
      <c r="W292" s="15" t="str">
        <f>IF(IFERROR(VLOOKUP($M292,#REF!,1,0),"-")="-","","GS")</f>
        <v/>
      </c>
      <c r="Z292" s="59" t="str">
        <f>IF(OR($M292="",NOT($O292="{array}")),"",IFERROR(MATCH(PARAMETERS!$M292,DEFAULT!$B$5:$CI$5,0),""))</f>
        <v/>
      </c>
      <c r="AA292" s="56" t="str">
        <f t="shared" si="25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IF($AA292="","",IF($B292="I",VLOOKUP($AA292,#REF!,53,0),INDEX(VALUES!$B$1:$BQ$1,1,$AA292)))</f>
        <v/>
      </c>
    </row>
    <row r="293" spans="1:29" hidden="1" outlineLevel="1" x14ac:dyDescent="0.3">
      <c r="A293" s="22" t="s">
        <v>84</v>
      </c>
      <c r="B293" s="41" t="str">
        <f t="shared" si="26"/>
        <v/>
      </c>
      <c r="C293" s="42">
        <f t="shared" si="27"/>
        <v>292</v>
      </c>
      <c r="D293" s="38"/>
      <c r="E293" s="38"/>
      <c r="F293" s="38" t="s">
        <v>9</v>
      </c>
      <c r="G293" s="38" t="s">
        <v>9</v>
      </c>
      <c r="H293" s="38"/>
      <c r="I293" s="38" t="s">
        <v>9</v>
      </c>
      <c r="J293" s="38"/>
      <c r="K293" s="14" t="s">
        <v>18</v>
      </c>
      <c r="L293" s="14" t="s">
        <v>27</v>
      </c>
      <c r="M293" s="20" t="s">
        <v>805</v>
      </c>
      <c r="N293" s="14" t="s">
        <v>806</v>
      </c>
      <c r="O293" s="43" t="s">
        <v>739</v>
      </c>
      <c r="R293" s="38" t="s">
        <v>104</v>
      </c>
      <c r="S293" s="38"/>
      <c r="T293" s="38"/>
      <c r="W293" s="15" t="str">
        <f>IF(IFERROR(VLOOKUP($M293,#REF!,1,0),"-")="-","","GS")</f>
        <v/>
      </c>
      <c r="Z293" s="59" t="str">
        <f>IF(OR($M293="",NOT($O293="{array}")),"",IFERROR(MATCH(PARAMETERS!$M293,DEFAULT!$B$5:$CI$5,0),""))</f>
        <v/>
      </c>
      <c r="AA293" s="56" t="str">
        <f t="shared" si="25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IF($AA293="","",IF($B293="I",VLOOKUP($AA293,#REF!,53,0),INDEX(VALUES!$B$1:$BQ$1,1,$AA293)))</f>
        <v/>
      </c>
    </row>
    <row r="294" spans="1:29" hidden="1" outlineLevel="1" x14ac:dyDescent="0.3">
      <c r="A294" s="22" t="s">
        <v>84</v>
      </c>
      <c r="B294" s="41" t="str">
        <f t="shared" si="26"/>
        <v/>
      </c>
      <c r="C294" s="42">
        <f t="shared" si="27"/>
        <v>293</v>
      </c>
      <c r="D294" s="38"/>
      <c r="E294" s="38"/>
      <c r="F294" s="38" t="s">
        <v>9</v>
      </c>
      <c r="G294" s="38" t="s">
        <v>9</v>
      </c>
      <c r="H294" s="38"/>
      <c r="I294" s="38" t="s">
        <v>9</v>
      </c>
      <c r="J294" s="38"/>
      <c r="K294" s="14" t="s">
        <v>44</v>
      </c>
      <c r="L294" s="14" t="s">
        <v>27</v>
      </c>
      <c r="M294" s="20" t="s">
        <v>807</v>
      </c>
      <c r="N294" s="14" t="s">
        <v>806</v>
      </c>
      <c r="O294" s="43">
        <v>1</v>
      </c>
      <c r="R294" s="38" t="s">
        <v>104</v>
      </c>
      <c r="S294" s="38"/>
      <c r="T294" s="38"/>
      <c r="W294" s="15" t="str">
        <f>IF(IFERROR(VLOOKUP($M294,#REF!,1,0),"-")="-","","GS")</f>
        <v/>
      </c>
      <c r="Z294" s="59" t="str">
        <f>IF(OR($M294="",NOT($O294="{array}")),"",IFERROR(MATCH(PARAMETERS!$M294,DEFAULT!$B$5:$CI$5,0),""))</f>
        <v/>
      </c>
      <c r="AA294" s="56" t="str">
        <f t="shared" si="25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IF($AA294="","",IF($B294="I",VLOOKUP($AA294,#REF!,53,0),INDEX(VALUES!$B$1:$BQ$1,1,$AA294)))</f>
        <v/>
      </c>
    </row>
    <row r="295" spans="1:29" hidden="1" outlineLevel="1" x14ac:dyDescent="0.3">
      <c r="A295" s="22" t="s">
        <v>84</v>
      </c>
      <c r="B295" s="41" t="str">
        <f t="shared" si="26"/>
        <v/>
      </c>
      <c r="C295" s="42">
        <f t="shared" si="27"/>
        <v>294</v>
      </c>
      <c r="D295" s="38"/>
      <c r="E295" s="38"/>
      <c r="F295" s="38" t="s">
        <v>9</v>
      </c>
      <c r="G295" s="38"/>
      <c r="H295" s="38"/>
      <c r="I295" s="38" t="s">
        <v>9</v>
      </c>
      <c r="J295" s="38"/>
      <c r="K295" s="14" t="s">
        <v>44</v>
      </c>
      <c r="L295" s="14" t="s">
        <v>27</v>
      </c>
      <c r="M295" s="20" t="s">
        <v>808</v>
      </c>
      <c r="N295" s="14" t="s">
        <v>809</v>
      </c>
      <c r="O295" s="43">
        <v>1</v>
      </c>
      <c r="R295" s="38" t="s">
        <v>104</v>
      </c>
      <c r="S295" s="38"/>
      <c r="T295" s="38"/>
      <c r="W295" s="15" t="str">
        <f>IF(IFERROR(VLOOKUP($M295,#REF!,1,0),"-")="-","","GS")</f>
        <v/>
      </c>
      <c r="Z295" s="59" t="str">
        <f>IF(OR($M295="",NOT($O295="{array}")),"",IFERROR(MATCH(PARAMETERS!$M295,DEFAULT!$B$5:$CI$5,0),""))</f>
        <v/>
      </c>
      <c r="AA295" s="56" t="str">
        <f t="shared" ref="AA295:AA326" si="28">IF($M295="","",IFERROR(MATCH($M295,VALUESnames,0),""))</f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IF($AA295="","",IF($B295="I",VLOOKUP($AA295,#REF!,53,0),INDEX(VALUES!$B$1:$BQ$1,1,$AA295)))</f>
        <v/>
      </c>
    </row>
    <row r="296" spans="1:29" hidden="1" outlineLevel="1" x14ac:dyDescent="0.3">
      <c r="A296" s="22" t="s">
        <v>84</v>
      </c>
      <c r="B296" s="41" t="str">
        <f t="shared" si="26"/>
        <v/>
      </c>
      <c r="C296" s="42">
        <f t="shared" ref="C296:C327" si="29">(ROW()-1)</f>
        <v>295</v>
      </c>
      <c r="D296" s="38"/>
      <c r="E296" s="38"/>
      <c r="F296" s="38" t="s">
        <v>9</v>
      </c>
      <c r="G296" s="38"/>
      <c r="H296" s="38"/>
      <c r="I296" s="38" t="s">
        <v>9</v>
      </c>
      <c r="J296" s="38"/>
      <c r="K296" s="14" t="s">
        <v>47</v>
      </c>
      <c r="L296" s="14" t="s">
        <v>27</v>
      </c>
      <c r="M296" s="20" t="s">
        <v>810</v>
      </c>
      <c r="N296" s="14" t="s">
        <v>811</v>
      </c>
      <c r="O296" s="43">
        <v>1</v>
      </c>
      <c r="R296" s="38" t="s">
        <v>104</v>
      </c>
      <c r="S296" s="38"/>
      <c r="T296" s="38"/>
      <c r="W296" s="15" t="str">
        <f>IF(IFERROR(VLOOKUP($M296,#REF!,1,0),"-")="-","","GS")</f>
        <v/>
      </c>
      <c r="Z296" s="59" t="str">
        <f>IF(OR($M296="",NOT($O296="{array}")),"",IFERROR(MATCH(PARAMETERS!$M296,DEFAULT!$B$5:$CI$5,0),""))</f>
        <v/>
      </c>
      <c r="AA296" s="56" t="str">
        <f t="shared" si="28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IF($AA296="","",IF($B296="I",VLOOKUP($AA296,#REF!,53,0),INDEX(VALUES!$B$1:$BQ$1,1,$AA296)))</f>
        <v/>
      </c>
    </row>
    <row r="297" spans="1:29" hidden="1" outlineLevel="1" x14ac:dyDescent="0.3">
      <c r="A297" s="22" t="s">
        <v>84</v>
      </c>
      <c r="B297" s="41" t="str">
        <f t="shared" si="26"/>
        <v/>
      </c>
      <c r="C297" s="42">
        <f t="shared" si="29"/>
        <v>296</v>
      </c>
      <c r="D297" s="38"/>
      <c r="E297" s="38"/>
      <c r="F297" s="38" t="s">
        <v>9</v>
      </c>
      <c r="G297" s="38"/>
      <c r="H297" s="38"/>
      <c r="I297" s="38" t="s">
        <v>9</v>
      </c>
      <c r="J297" s="38"/>
      <c r="K297" s="14" t="s">
        <v>44</v>
      </c>
      <c r="L297" s="14" t="s">
        <v>27</v>
      </c>
      <c r="M297" s="20" t="s">
        <v>812</v>
      </c>
      <c r="N297" s="14" t="s">
        <v>813</v>
      </c>
      <c r="O297" s="43">
        <v>1</v>
      </c>
      <c r="R297" s="38" t="s">
        <v>104</v>
      </c>
      <c r="S297" s="38"/>
      <c r="T297" s="38"/>
      <c r="W297" s="15" t="str">
        <f>IF(IFERROR(VLOOKUP($M297,#REF!,1,0),"-")="-","","GS")</f>
        <v/>
      </c>
      <c r="Z297" s="59" t="str">
        <f>IF(OR($M297="",NOT($O297="{array}")),"",IFERROR(MATCH(PARAMETERS!$M297,DEFAULT!$B$5:$CI$5,0),""))</f>
        <v/>
      </c>
      <c r="AA297" s="56" t="str">
        <f t="shared" si="28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IF($AA297="","",IF($B297="I",VLOOKUP($AA297,#REF!,53,0),INDEX(VALUES!$B$1:$BQ$1,1,$AA297)))</f>
        <v/>
      </c>
    </row>
    <row r="298" spans="1:29" hidden="1" outlineLevel="1" x14ac:dyDescent="0.3">
      <c r="A298" s="22" t="s">
        <v>84</v>
      </c>
      <c r="B298" s="41" t="str">
        <f t="shared" si="26"/>
        <v/>
      </c>
      <c r="C298" s="42">
        <f t="shared" si="29"/>
        <v>297</v>
      </c>
      <c r="D298" s="38"/>
      <c r="E298" s="38"/>
      <c r="F298" s="38" t="s">
        <v>9</v>
      </c>
      <c r="G298" s="38"/>
      <c r="H298" s="38"/>
      <c r="I298" s="38" t="s">
        <v>9</v>
      </c>
      <c r="J298" s="38"/>
      <c r="K298" s="14" t="s">
        <v>24</v>
      </c>
      <c r="L298" s="14" t="s">
        <v>27</v>
      </c>
      <c r="M298" s="20" t="s">
        <v>814</v>
      </c>
      <c r="N298" s="14" t="s">
        <v>815</v>
      </c>
      <c r="O298" s="43">
        <v>0.02</v>
      </c>
      <c r="R298" s="38" t="s">
        <v>104</v>
      </c>
      <c r="S298" s="38"/>
      <c r="T298" s="38"/>
      <c r="W298" s="15" t="str">
        <f>IF(IFERROR(VLOOKUP($M298,#REF!,1,0),"-")="-","","GS")</f>
        <v/>
      </c>
      <c r="Z298" s="59" t="str">
        <f>IF(OR($M298="",NOT($O298="{array}")),"",IFERROR(MATCH(PARAMETERS!$M298,DEFAULT!$B$5:$CI$5,0),""))</f>
        <v/>
      </c>
      <c r="AA298" s="56" t="str">
        <f t="shared" si="28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IF($AA298="","",IF($B298="I",VLOOKUP($AA298,#REF!,53,0),INDEX(VALUES!$B$1:$BQ$1,1,$AA298)))</f>
        <v/>
      </c>
    </row>
    <row r="299" spans="1:29" hidden="1" outlineLevel="1" x14ac:dyDescent="0.3">
      <c r="A299" s="22" t="s">
        <v>84</v>
      </c>
      <c r="B299" s="41" t="str">
        <f t="shared" si="26"/>
        <v/>
      </c>
      <c r="C299" s="42">
        <f t="shared" si="29"/>
        <v>298</v>
      </c>
      <c r="D299" s="38"/>
      <c r="E299" s="38"/>
      <c r="F299" s="38" t="s">
        <v>9</v>
      </c>
      <c r="G299" s="38"/>
      <c r="H299" s="38"/>
      <c r="I299" s="38" t="s">
        <v>9</v>
      </c>
      <c r="J299" s="38"/>
      <c r="K299" s="14" t="s">
        <v>47</v>
      </c>
      <c r="L299" s="14" t="s">
        <v>27</v>
      </c>
      <c r="M299" s="20" t="s">
        <v>816</v>
      </c>
      <c r="N299" s="14" t="s">
        <v>817</v>
      </c>
      <c r="O299" s="43">
        <v>1</v>
      </c>
      <c r="R299" s="38" t="s">
        <v>104</v>
      </c>
      <c r="S299" s="38"/>
      <c r="T299" s="38"/>
      <c r="W299" s="15" t="str">
        <f>IF(IFERROR(VLOOKUP($M299,#REF!,1,0),"-")="-","","GS")</f>
        <v/>
      </c>
      <c r="Z299" s="59" t="str">
        <f>IF(OR($M299="",NOT($O299="{array}")),"",IFERROR(MATCH(PARAMETERS!$M299,DEFAULT!$B$5:$CI$5,0),""))</f>
        <v/>
      </c>
      <c r="AA299" s="56" t="str">
        <f t="shared" si="28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IF($AA299="","",IF($B299="I",VLOOKUP($AA299,#REF!,53,0),INDEX(VALUES!$B$1:$BQ$1,1,$AA299)))</f>
        <v/>
      </c>
    </row>
    <row r="300" spans="1:29" hidden="1" outlineLevel="1" x14ac:dyDescent="0.3">
      <c r="A300" s="22" t="s">
        <v>84</v>
      </c>
      <c r="B300" s="41" t="str">
        <f t="shared" si="26"/>
        <v/>
      </c>
      <c r="C300" s="42">
        <f t="shared" si="29"/>
        <v>299</v>
      </c>
      <c r="D300" s="38"/>
      <c r="E300" s="38"/>
      <c r="F300" s="38" t="s">
        <v>9</v>
      </c>
      <c r="G300" s="38"/>
      <c r="H300" s="38"/>
      <c r="I300" s="38" t="s">
        <v>9</v>
      </c>
      <c r="J300" s="38"/>
      <c r="K300" s="14" t="s">
        <v>47</v>
      </c>
      <c r="L300" s="14" t="s">
        <v>27</v>
      </c>
      <c r="M300" s="20" t="s">
        <v>818</v>
      </c>
      <c r="N300" s="14" t="s">
        <v>819</v>
      </c>
      <c r="O300" s="43">
        <v>1</v>
      </c>
      <c r="R300" s="38" t="s">
        <v>104</v>
      </c>
      <c r="S300" s="38"/>
      <c r="T300" s="38"/>
      <c r="W300" s="15" t="str">
        <f>IF(IFERROR(VLOOKUP($M300,#REF!,1,0),"-")="-","","GS")</f>
        <v/>
      </c>
      <c r="Z300" s="59" t="str">
        <f>IF(OR($M300="",NOT($O300="{array}")),"",IFERROR(MATCH(PARAMETERS!$M300,DEFAULT!$B$5:$CI$5,0),""))</f>
        <v/>
      </c>
      <c r="AA300" s="56" t="str">
        <f t="shared" si="28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IF($AA300="","",IF($B300="I",VLOOKUP($AA300,#REF!,53,0),INDEX(VALUES!$B$1:$BQ$1,1,$AA300)))</f>
        <v/>
      </c>
    </row>
    <row r="301" spans="1:29" hidden="1" outlineLevel="1" x14ac:dyDescent="0.3">
      <c r="A301" s="22" t="s">
        <v>84</v>
      </c>
      <c r="B301" s="41" t="str">
        <f t="shared" si="26"/>
        <v/>
      </c>
      <c r="C301" s="42">
        <f t="shared" si="29"/>
        <v>300</v>
      </c>
      <c r="D301" s="38"/>
      <c r="E301" s="38"/>
      <c r="F301" s="38" t="s">
        <v>9</v>
      </c>
      <c r="G301" s="38"/>
      <c r="H301" s="38"/>
      <c r="I301" s="38" t="s">
        <v>9</v>
      </c>
      <c r="J301" s="38"/>
      <c r="K301" s="14" t="s">
        <v>24</v>
      </c>
      <c r="L301" s="14" t="s">
        <v>27</v>
      </c>
      <c r="M301" s="20" t="s">
        <v>820</v>
      </c>
      <c r="N301" s="14" t="s">
        <v>821</v>
      </c>
      <c r="O301" s="43">
        <v>0.05</v>
      </c>
      <c r="R301" s="38" t="s">
        <v>104</v>
      </c>
      <c r="S301" s="38"/>
      <c r="T301" s="38"/>
      <c r="W301" s="15" t="str">
        <f>IF(IFERROR(VLOOKUP($M301,#REF!,1,0),"-")="-","","GS")</f>
        <v/>
      </c>
      <c r="Z301" s="59" t="str">
        <f>IF(OR($M301="",NOT($O301="{array}")),"",IFERROR(MATCH(PARAMETERS!$M301,DEFAULT!$B$5:$CI$5,0),""))</f>
        <v/>
      </c>
      <c r="AA301" s="56" t="str">
        <f t="shared" si="28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IF($AA301="","",IF($B301="I",VLOOKUP($AA301,#REF!,53,0),INDEX(VALUES!$B$1:$BQ$1,1,$AA301)))</f>
        <v/>
      </c>
    </row>
    <row r="302" spans="1:29" hidden="1" outlineLevel="1" x14ac:dyDescent="0.3">
      <c r="A302" s="22" t="s">
        <v>84</v>
      </c>
      <c r="B302" s="41" t="str">
        <f t="shared" si="26"/>
        <v/>
      </c>
      <c r="C302" s="42">
        <f t="shared" si="29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24</v>
      </c>
      <c r="L302" s="14" t="s">
        <v>27</v>
      </c>
      <c r="M302" s="20" t="s">
        <v>822</v>
      </c>
      <c r="N302" s="14" t="s">
        <v>823</v>
      </c>
      <c r="O302" s="43">
        <v>0.05</v>
      </c>
      <c r="R302" s="38" t="s">
        <v>104</v>
      </c>
      <c r="S302" s="38"/>
      <c r="T302" s="38"/>
      <c r="W302" s="15" t="str">
        <f>IF(IFERROR(VLOOKUP($M302,#REF!,1,0),"-")="-","","GS")</f>
        <v/>
      </c>
      <c r="Z302" s="59" t="str">
        <f>IF(OR($M302="",NOT($O302="{array}")),"",IFERROR(MATCH(PARAMETERS!$M302,DEFAULT!$B$5:$CI$5,0),""))</f>
        <v/>
      </c>
      <c r="AA302" s="56" t="str">
        <f t="shared" si="28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IF($AA302="","",IF($B302="I",VLOOKUP($AA302,#REF!,53,0),INDEX(VALUES!$B$1:$BQ$1,1,$AA302)))</f>
        <v/>
      </c>
    </row>
    <row r="303" spans="1:29" hidden="1" outlineLevel="1" x14ac:dyDescent="0.3">
      <c r="A303" s="22" t="s">
        <v>84</v>
      </c>
      <c r="B303" s="41" t="str">
        <f t="shared" si="26"/>
        <v/>
      </c>
      <c r="C303" s="42">
        <f t="shared" si="29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24</v>
      </c>
      <c r="L303" s="14" t="s">
        <v>27</v>
      </c>
      <c r="M303" s="20" t="s">
        <v>824</v>
      </c>
      <c r="N303" s="14" t="s">
        <v>738</v>
      </c>
      <c r="O303" s="43">
        <v>0.05</v>
      </c>
      <c r="R303" s="38" t="s">
        <v>104</v>
      </c>
      <c r="S303" s="38"/>
      <c r="T303" s="38"/>
      <c r="W303" s="15" t="str">
        <f>IF(IFERROR(VLOOKUP($M303,#REF!,1,0),"-")="-","","GS")</f>
        <v/>
      </c>
      <c r="Z303" s="59" t="str">
        <f>IF(OR($M303="",NOT($O303="{array}")),"",IFERROR(MATCH(PARAMETERS!$M303,DEFAULT!$B$5:$CI$5,0),""))</f>
        <v/>
      </c>
      <c r="AA303" s="56" t="str">
        <f t="shared" si="28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IF($AA303="","",IF($B303="I",VLOOKUP($AA303,#REF!,53,0),INDEX(VALUES!$B$1:$BQ$1,1,$AA303)))</f>
        <v/>
      </c>
    </row>
    <row r="304" spans="1:29" hidden="1" outlineLevel="1" x14ac:dyDescent="0.3">
      <c r="A304" s="22" t="s">
        <v>84</v>
      </c>
      <c r="B304" s="41" t="str">
        <f t="shared" si="26"/>
        <v/>
      </c>
      <c r="C304" s="42">
        <f t="shared" si="29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24</v>
      </c>
      <c r="L304" s="14" t="s">
        <v>27</v>
      </c>
      <c r="M304" s="20" t="s">
        <v>825</v>
      </c>
      <c r="N304" s="14" t="s">
        <v>826</v>
      </c>
      <c r="O304" s="43">
        <v>1.9E-2</v>
      </c>
      <c r="R304" s="38" t="s">
        <v>104</v>
      </c>
      <c r="S304" s="38"/>
      <c r="T304" s="38"/>
      <c r="W304" s="15" t="str">
        <f>IF(IFERROR(VLOOKUP($M304,#REF!,1,0),"-")="-","","GS")</f>
        <v/>
      </c>
      <c r="Z304" s="59" t="str">
        <f>IF(OR($M304="",NOT($O304="{array}")),"",IFERROR(MATCH(PARAMETERS!$M304,DEFAULT!$B$5:$CI$5,0),""))</f>
        <v/>
      </c>
      <c r="AA304" s="56" t="str">
        <f t="shared" si="28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IF($AA304="","",IF($B304="I",VLOOKUP($AA304,#REF!,53,0),INDEX(VALUES!$B$1:$BQ$1,1,$AA304)))</f>
        <v/>
      </c>
    </row>
    <row r="305" spans="1:29" hidden="1" outlineLevel="1" x14ac:dyDescent="0.3">
      <c r="A305" s="22" t="s">
        <v>84</v>
      </c>
      <c r="B305" s="41" t="str">
        <f t="shared" si="26"/>
        <v/>
      </c>
      <c r="C305" s="42">
        <f t="shared" si="29"/>
        <v>304</v>
      </c>
      <c r="D305" s="38"/>
      <c r="E305" s="38"/>
      <c r="F305" s="38" t="s">
        <v>9</v>
      </c>
      <c r="G305" s="38"/>
      <c r="H305" s="38"/>
      <c r="I305" s="38" t="s">
        <v>9</v>
      </c>
      <c r="J305" s="38"/>
      <c r="K305" s="14" t="s">
        <v>24</v>
      </c>
      <c r="L305" s="14" t="s">
        <v>27</v>
      </c>
      <c r="M305" s="20" t="s">
        <v>827</v>
      </c>
      <c r="N305" s="14" t="s">
        <v>828</v>
      </c>
      <c r="O305" s="43">
        <v>2.5000000000000001E-2</v>
      </c>
      <c r="R305" s="38" t="s">
        <v>104</v>
      </c>
      <c r="S305" s="38"/>
      <c r="T305" s="38"/>
      <c r="W305" s="15" t="str">
        <f>IF(IFERROR(VLOOKUP($M305,#REF!,1,0),"-")="-","","GS")</f>
        <v/>
      </c>
      <c r="Z305" s="59" t="str">
        <f>IF(OR($M305="",NOT($O305="{array}")),"",IFERROR(MATCH(PARAMETERS!$M305,DEFAULT!$B$5:$CI$5,0),""))</f>
        <v/>
      </c>
      <c r="AA305" s="56" t="str">
        <f t="shared" si="28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IF($AA305="","",IF($B305="I",VLOOKUP($AA305,#REF!,53,0),INDEX(VALUES!$B$1:$BQ$1,1,$AA305)))</f>
        <v/>
      </c>
    </row>
    <row r="306" spans="1:29" hidden="1" outlineLevel="1" x14ac:dyDescent="0.3">
      <c r="A306" s="22" t="s">
        <v>84</v>
      </c>
      <c r="B306" s="41" t="str">
        <f t="shared" si="26"/>
        <v/>
      </c>
      <c r="C306" s="42">
        <f t="shared" si="29"/>
        <v>305</v>
      </c>
      <c r="D306" s="38"/>
      <c r="E306" s="38"/>
      <c r="F306" s="38" t="s">
        <v>9</v>
      </c>
      <c r="G306" s="38"/>
      <c r="H306" s="38"/>
      <c r="I306" s="38" t="s">
        <v>9</v>
      </c>
      <c r="J306" s="38"/>
      <c r="K306" s="14" t="s">
        <v>24</v>
      </c>
      <c r="L306" s="14" t="s">
        <v>27</v>
      </c>
      <c r="M306" s="20" t="s">
        <v>829</v>
      </c>
      <c r="N306" s="14" t="s">
        <v>830</v>
      </c>
      <c r="O306" s="43">
        <v>0</v>
      </c>
      <c r="R306" s="38" t="s">
        <v>104</v>
      </c>
      <c r="S306" s="38"/>
      <c r="T306" s="38"/>
      <c r="W306" s="15" t="str">
        <f>IF(IFERROR(VLOOKUP($M306,#REF!,1,0),"-")="-","","GS")</f>
        <v/>
      </c>
      <c r="Z306" s="59" t="str">
        <f>IF(OR($M306="",NOT($O306="{array}")),"",IFERROR(MATCH(PARAMETERS!$M306,DEFAULT!$B$5:$CI$5,0),""))</f>
        <v/>
      </c>
      <c r="AA306" s="56" t="str">
        <f t="shared" si="28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IF($AA306="","",IF($B306="I",VLOOKUP($AA306,#REF!,53,0),INDEX(VALUES!$B$1:$BQ$1,1,$AA306)))</f>
        <v/>
      </c>
    </row>
    <row r="307" spans="1:29" hidden="1" outlineLevel="1" x14ac:dyDescent="0.3">
      <c r="A307" s="22" t="s">
        <v>84</v>
      </c>
      <c r="B307" s="41" t="str">
        <f t="shared" si="26"/>
        <v/>
      </c>
      <c r="C307" s="42">
        <f t="shared" si="29"/>
        <v>306</v>
      </c>
      <c r="D307" s="38"/>
      <c r="E307" s="38"/>
      <c r="F307" s="38" t="s">
        <v>9</v>
      </c>
      <c r="G307" s="38"/>
      <c r="H307" s="38"/>
      <c r="I307" s="38" t="s">
        <v>9</v>
      </c>
      <c r="J307" s="38"/>
      <c r="K307" s="14" t="s">
        <v>24</v>
      </c>
      <c r="L307" s="14" t="s">
        <v>27</v>
      </c>
      <c r="M307" s="20" t="s">
        <v>831</v>
      </c>
      <c r="N307" s="14" t="s">
        <v>832</v>
      </c>
      <c r="O307" s="43">
        <v>0.05</v>
      </c>
      <c r="R307" s="38" t="s">
        <v>104</v>
      </c>
      <c r="S307" s="38"/>
      <c r="T307" s="38"/>
      <c r="W307" s="15" t="str">
        <f>IF(IFERROR(VLOOKUP($M307,#REF!,1,0),"-")="-","","GS")</f>
        <v/>
      </c>
      <c r="Z307" s="59" t="str">
        <f>IF(OR($M307="",NOT($O307="{array}")),"",IFERROR(MATCH(PARAMETERS!$M307,DEFAULT!$B$5:$CI$5,0),""))</f>
        <v/>
      </c>
      <c r="AA307" s="56" t="str">
        <f t="shared" si="28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IF($AA307="","",IF($B307="I",VLOOKUP($AA307,#REF!,53,0),INDEX(VALUES!$B$1:$BQ$1,1,$AA307)))</f>
        <v/>
      </c>
    </row>
    <row r="308" spans="1:29" hidden="1" outlineLevel="1" x14ac:dyDescent="0.3">
      <c r="A308" s="22" t="s">
        <v>84</v>
      </c>
      <c r="B308" s="41" t="str">
        <f t="shared" si="26"/>
        <v/>
      </c>
      <c r="C308" s="42">
        <f t="shared" si="29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24</v>
      </c>
      <c r="L308" s="14" t="s">
        <v>27</v>
      </c>
      <c r="M308" s="20" t="s">
        <v>833</v>
      </c>
      <c r="N308" s="14" t="s">
        <v>834</v>
      </c>
      <c r="O308" s="43">
        <v>0.1</v>
      </c>
      <c r="R308" s="38" t="s">
        <v>104</v>
      </c>
      <c r="S308" s="38"/>
      <c r="T308" s="38"/>
      <c r="W308" s="15" t="str">
        <f>IF(IFERROR(VLOOKUP($M308,#REF!,1,0),"-")="-","","GS")</f>
        <v/>
      </c>
      <c r="Z308" s="59" t="str">
        <f>IF(OR($M308="",NOT($O308="{array}")),"",IFERROR(MATCH(PARAMETERS!$M308,DEFAULT!$B$5:$CI$5,0),""))</f>
        <v/>
      </c>
      <c r="AA308" s="56" t="str">
        <f t="shared" si="28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IF($AA308="","",IF($B308="I",VLOOKUP($AA308,#REF!,53,0),INDEX(VALUES!$B$1:$BQ$1,1,$AA308)))</f>
        <v/>
      </c>
    </row>
    <row r="309" spans="1:29" hidden="1" outlineLevel="1" x14ac:dyDescent="0.3">
      <c r="A309" s="22" t="s">
        <v>84</v>
      </c>
      <c r="B309" s="41" t="str">
        <f t="shared" si="26"/>
        <v/>
      </c>
      <c r="C309" s="42">
        <f t="shared" si="29"/>
        <v>308</v>
      </c>
      <c r="D309" s="38"/>
      <c r="E309" s="38"/>
      <c r="F309" s="38" t="s">
        <v>9</v>
      </c>
      <c r="G309" s="38"/>
      <c r="H309" s="38"/>
      <c r="I309" s="38" t="s">
        <v>9</v>
      </c>
      <c r="J309" s="38"/>
      <c r="K309" s="14" t="s">
        <v>53</v>
      </c>
      <c r="L309" s="14" t="s">
        <v>27</v>
      </c>
      <c r="M309" s="20" t="s">
        <v>835</v>
      </c>
      <c r="N309" s="14" t="s">
        <v>836</v>
      </c>
      <c r="O309" s="43">
        <v>1</v>
      </c>
      <c r="R309" s="38" t="s">
        <v>104</v>
      </c>
      <c r="S309" s="38"/>
      <c r="T309" s="38"/>
      <c r="W309" s="15" t="str">
        <f>IF(IFERROR(VLOOKUP($M309,#REF!,1,0),"-")="-","","GS")</f>
        <v/>
      </c>
      <c r="Z309" s="59" t="str">
        <f>IF(OR($M309="",NOT($O309="{array}")),"",IFERROR(MATCH(PARAMETERS!$M309,DEFAULT!$B$5:$CI$5,0),""))</f>
        <v/>
      </c>
      <c r="AA309" s="56" t="str">
        <f t="shared" si="28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IF($AA309="","",IF($B309="I",VLOOKUP($AA309,#REF!,53,0),INDEX(VALUES!$B$1:$BQ$1,1,$AA309)))</f>
        <v/>
      </c>
    </row>
    <row r="310" spans="1:29" hidden="1" outlineLevel="1" x14ac:dyDescent="0.3">
      <c r="A310" s="22" t="s">
        <v>84</v>
      </c>
      <c r="B310" s="41" t="str">
        <f t="shared" si="26"/>
        <v/>
      </c>
      <c r="C310" s="42">
        <f t="shared" si="29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52</v>
      </c>
      <c r="L310" s="14" t="s">
        <v>27</v>
      </c>
      <c r="M310" s="20" t="s">
        <v>837</v>
      </c>
      <c r="N310" s="14" t="s">
        <v>838</v>
      </c>
      <c r="O310" s="43">
        <v>65</v>
      </c>
      <c r="R310" s="38" t="s">
        <v>104</v>
      </c>
      <c r="S310" s="38"/>
      <c r="T310" s="38"/>
      <c r="W310" s="15" t="str">
        <f>IF(IFERROR(VLOOKUP($M310,#REF!,1,0),"-")="-","","GS")</f>
        <v/>
      </c>
      <c r="Z310" s="59" t="str">
        <f>IF(OR($M310="",NOT($O310="{array}")),"",IFERROR(MATCH(PARAMETERS!$M310,DEFAULT!$B$5:$CI$5,0),""))</f>
        <v/>
      </c>
      <c r="AA310" s="56" t="str">
        <f t="shared" si="28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IF($AA310="","",IF($B310="I",VLOOKUP($AA310,#REF!,53,0),INDEX(VALUES!$B$1:$BQ$1,1,$AA310)))</f>
        <v/>
      </c>
    </row>
    <row r="311" spans="1:29" hidden="1" outlineLevel="1" x14ac:dyDescent="0.3">
      <c r="A311" s="22" t="s">
        <v>84</v>
      </c>
      <c r="B311" s="41" t="str">
        <f t="shared" si="26"/>
        <v/>
      </c>
      <c r="C311" s="42">
        <f t="shared" si="29"/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839</v>
      </c>
      <c r="N311" s="14" t="s">
        <v>840</v>
      </c>
      <c r="O311" s="43">
        <v>19</v>
      </c>
      <c r="R311" s="38" t="s">
        <v>104</v>
      </c>
      <c r="S311" s="38"/>
      <c r="T311" s="38"/>
      <c r="W311" s="15" t="str">
        <f>IF(IFERROR(VLOOKUP($M311,#REF!,1,0),"-")="-","","GS")</f>
        <v/>
      </c>
      <c r="Z311" s="59" t="str">
        <f>IF(OR($M311="",NOT($O311="{array}")),"",IFERROR(MATCH(PARAMETERS!$M311,DEFAULT!$B$5:$CI$5,0),""))</f>
        <v/>
      </c>
      <c r="AA311" s="56" t="str">
        <f t="shared" si="28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IF($AA311="","",IF($B311="I",VLOOKUP($AA311,#REF!,53,0),INDEX(VALUES!$B$1:$BQ$1,1,$AA311)))</f>
        <v/>
      </c>
    </row>
    <row r="312" spans="1:29" hidden="1" outlineLevel="1" x14ac:dyDescent="0.3">
      <c r="A312" s="22" t="s">
        <v>84</v>
      </c>
      <c r="B312" s="41" t="str">
        <f t="shared" si="26"/>
        <v/>
      </c>
      <c r="C312" s="42">
        <f t="shared" si="29"/>
        <v>311</v>
      </c>
      <c r="D312" s="38"/>
      <c r="E312" s="38"/>
      <c r="F312" s="38" t="s">
        <v>9</v>
      </c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841</v>
      </c>
      <c r="N312" s="14" t="s">
        <v>842</v>
      </c>
      <c r="O312" s="43">
        <v>19</v>
      </c>
      <c r="R312" s="38" t="s">
        <v>104</v>
      </c>
      <c r="S312" s="38"/>
      <c r="T312" s="38"/>
      <c r="W312" s="15" t="str">
        <f>IF(IFERROR(VLOOKUP($M312,#REF!,1,0),"-")="-","","GS")</f>
        <v/>
      </c>
      <c r="Z312" s="59" t="str">
        <f>IF(OR($M312="",NOT($O312="{array}")),"",IFERROR(MATCH(PARAMETERS!$M312,DEFAULT!$B$5:$CI$5,0),""))</f>
        <v/>
      </c>
      <c r="AA312" s="56" t="str">
        <f t="shared" si="28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IF($AA312="","",IF($B312="I",VLOOKUP($AA312,#REF!,53,0),INDEX(VALUES!$B$1:$BQ$1,1,$AA312)))</f>
        <v/>
      </c>
    </row>
    <row r="313" spans="1:29" hidden="1" outlineLevel="1" x14ac:dyDescent="0.3">
      <c r="A313" s="22" t="s">
        <v>84</v>
      </c>
      <c r="B313" s="41" t="str">
        <f t="shared" si="26"/>
        <v/>
      </c>
      <c r="C313" s="42">
        <f t="shared" si="29"/>
        <v>312</v>
      </c>
      <c r="D313" s="38"/>
      <c r="E313" s="38"/>
      <c r="F313" s="38" t="s">
        <v>9</v>
      </c>
      <c r="G313" s="38"/>
      <c r="H313" s="38" t="s">
        <v>9</v>
      </c>
      <c r="I313" s="38"/>
      <c r="J313" s="38"/>
      <c r="K313" s="14" t="s">
        <v>47</v>
      </c>
      <c r="L313" s="14" t="s">
        <v>27</v>
      </c>
      <c r="M313" s="20" t="s">
        <v>843</v>
      </c>
      <c r="N313" s="14" t="s">
        <v>844</v>
      </c>
      <c r="O313" s="43">
        <v>0</v>
      </c>
      <c r="R313" s="38" t="s">
        <v>104</v>
      </c>
      <c r="S313" s="38"/>
      <c r="T313" s="38"/>
      <c r="W313" s="15" t="str">
        <f>IF(IFERROR(VLOOKUP($M313,#REF!,1,0),"-")="-","","GS")</f>
        <v/>
      </c>
      <c r="Z313" s="59" t="str">
        <f>IF(OR($M313="",NOT($O313="{array}")),"",IFERROR(MATCH(PARAMETERS!$M313,DEFAULT!$B$5:$CI$5,0),""))</f>
        <v/>
      </c>
      <c r="AA313" s="56" t="str">
        <f t="shared" si="28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IF($AA313="","",IF($B313="I",VLOOKUP($AA313,#REF!,53,0),INDEX(VALUES!$B$1:$BQ$1,1,$AA313)))</f>
        <v/>
      </c>
    </row>
    <row r="314" spans="1:29" hidden="1" outlineLevel="1" x14ac:dyDescent="0.3">
      <c r="A314" s="22" t="s">
        <v>84</v>
      </c>
      <c r="B314" s="41" t="str">
        <f t="shared" ref="B314:B384" si="30">IF($A314="P",IF(NOT($Z314=""),"A",IF(NOT($AA314=""),"I","")),IF(NOT($AA314=""),IF($A314="G","V","X"),IF(NOT($Z314=""),"A","")))</f>
        <v/>
      </c>
      <c r="C314" s="42">
        <f t="shared" si="29"/>
        <v>313</v>
      </c>
      <c r="D314" s="38"/>
      <c r="E314" s="38"/>
      <c r="F314" s="38" t="s">
        <v>9</v>
      </c>
      <c r="G314" s="38" t="s">
        <v>9</v>
      </c>
      <c r="H314" s="38"/>
      <c r="I314" s="38" t="s">
        <v>9</v>
      </c>
      <c r="J314" s="38"/>
      <c r="K314" s="14" t="s">
        <v>18</v>
      </c>
      <c r="L314" s="14" t="s">
        <v>27</v>
      </c>
      <c r="M314" s="20" t="s">
        <v>845</v>
      </c>
      <c r="N314" s="14" t="s">
        <v>846</v>
      </c>
      <c r="O314" s="43" t="s">
        <v>739</v>
      </c>
      <c r="R314" s="38" t="s">
        <v>104</v>
      </c>
      <c r="S314" s="38"/>
      <c r="T314" s="38"/>
      <c r="W314" s="15" t="str">
        <f>IF(IFERROR(VLOOKUP($M314,#REF!,1,0),"-")="-","","GS")</f>
        <v/>
      </c>
      <c r="Z314" s="59" t="str">
        <f>IF(OR($M314="",NOT($O314="{array}")),"",IFERROR(MATCH(PARAMETERS!$M314,DEFAULT!$B$5:$CI$5,0),""))</f>
        <v/>
      </c>
      <c r="AA314" s="56" t="str">
        <f t="shared" si="28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IF($AA314="","",IF($B314="I",VLOOKUP($AA314,#REF!,53,0),INDEX(VALUES!$B$1:$BQ$1,1,$AA314)))</f>
        <v/>
      </c>
    </row>
    <row r="315" spans="1:29" hidden="1" outlineLevel="1" x14ac:dyDescent="0.3">
      <c r="A315" s="22" t="s">
        <v>84</v>
      </c>
      <c r="B315" s="41" t="str">
        <f t="shared" si="30"/>
        <v/>
      </c>
      <c r="C315" s="42">
        <f t="shared" si="29"/>
        <v>314</v>
      </c>
      <c r="D315" s="38"/>
      <c r="E315" s="38"/>
      <c r="F315" s="38" t="s">
        <v>9</v>
      </c>
      <c r="G315" s="38" t="s">
        <v>9</v>
      </c>
      <c r="H315" s="38"/>
      <c r="I315" s="38" t="s">
        <v>9</v>
      </c>
      <c r="J315" s="38"/>
      <c r="K315" s="14" t="s">
        <v>44</v>
      </c>
      <c r="L315" s="14" t="s">
        <v>27</v>
      </c>
      <c r="M315" s="20" t="s">
        <v>847</v>
      </c>
      <c r="N315" s="14" t="s">
        <v>846</v>
      </c>
      <c r="O315" s="43">
        <v>1</v>
      </c>
      <c r="R315" s="38" t="s">
        <v>104</v>
      </c>
      <c r="S315" s="38"/>
      <c r="T315" s="38"/>
      <c r="W315" s="15" t="str">
        <f>IF(IFERROR(VLOOKUP($M315,#REF!,1,0),"-")="-","","GS")</f>
        <v/>
      </c>
      <c r="Z315" s="59" t="str">
        <f>IF(OR($M315="",NOT($O315="{array}")),"",IFERROR(MATCH(PARAMETERS!$M315,DEFAULT!$B$5:$CI$5,0),""))</f>
        <v/>
      </c>
      <c r="AA315" s="56" t="str">
        <f t="shared" si="28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IF($AA315="","",IF($B315="I",VLOOKUP($AA315,#REF!,53,0),INDEX(VALUES!$B$1:$BQ$1,1,$AA315)))</f>
        <v/>
      </c>
    </row>
    <row r="316" spans="1:29" hidden="1" outlineLevel="1" x14ac:dyDescent="0.3">
      <c r="A316" s="22" t="s">
        <v>84</v>
      </c>
      <c r="B316" s="41" t="str">
        <f t="shared" si="30"/>
        <v/>
      </c>
      <c r="C316" s="42">
        <f t="shared" si="29"/>
        <v>315</v>
      </c>
      <c r="D316" s="38"/>
      <c r="E316" s="38"/>
      <c r="F316" s="38" t="s">
        <v>9</v>
      </c>
      <c r="G316" s="38"/>
      <c r="H316" s="38"/>
      <c r="I316" s="38" t="s">
        <v>9</v>
      </c>
      <c r="J316" s="38"/>
      <c r="K316" s="14" t="s">
        <v>47</v>
      </c>
      <c r="L316" s="14" t="s">
        <v>27</v>
      </c>
      <c r="M316" s="20" t="s">
        <v>848</v>
      </c>
      <c r="N316" s="14" t="s">
        <v>817</v>
      </c>
      <c r="O316" s="43">
        <v>1</v>
      </c>
      <c r="R316" s="38" t="s">
        <v>104</v>
      </c>
      <c r="S316" s="38"/>
      <c r="T316" s="38"/>
      <c r="W316" s="15" t="str">
        <f>IF(IFERROR(VLOOKUP($M316,#REF!,1,0),"-")="-","","GS")</f>
        <v/>
      </c>
      <c r="Z316" s="59" t="str">
        <f>IF(OR($M316="",NOT($O316="{array}")),"",IFERROR(MATCH(PARAMETERS!$M316,DEFAULT!$B$5:$CI$5,0),""))</f>
        <v/>
      </c>
      <c r="AA316" s="56" t="str">
        <f t="shared" si="28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IF($AA316="","",IF($B316="I",VLOOKUP($AA316,#REF!,53,0),INDEX(VALUES!$B$1:$BQ$1,1,$AA316)))</f>
        <v/>
      </c>
    </row>
    <row r="317" spans="1:29" hidden="1" outlineLevel="1" x14ac:dyDescent="0.3">
      <c r="A317" s="22" t="s">
        <v>84</v>
      </c>
      <c r="B317" s="41" t="str">
        <f t="shared" si="30"/>
        <v/>
      </c>
      <c r="C317" s="42">
        <f t="shared" si="29"/>
        <v>316</v>
      </c>
      <c r="D317" s="38"/>
      <c r="E317" s="38"/>
      <c r="F317" s="38" t="s">
        <v>9</v>
      </c>
      <c r="G317" s="38"/>
      <c r="H317" s="38"/>
      <c r="I317" s="38" t="s">
        <v>9</v>
      </c>
      <c r="J317" s="38"/>
      <c r="K317" s="14" t="s">
        <v>47</v>
      </c>
      <c r="L317" s="14" t="s">
        <v>27</v>
      </c>
      <c r="M317" s="20" t="s">
        <v>849</v>
      </c>
      <c r="N317" s="14" t="s">
        <v>819</v>
      </c>
      <c r="O317" s="43">
        <v>1</v>
      </c>
      <c r="R317" s="38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IF(OR($M317="",NOT($O317="{array}")),"",IFERROR(MATCH(PARAMETERS!$M317,DEFAULT!$B$5:$CI$5,0),""))</f>
        <v/>
      </c>
      <c r="AA317" s="56" t="str">
        <f t="shared" si="28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IF($AA317="","",IF($B317="I",VLOOKUP($AA317,#REF!,53,0),INDEX(VALUES!$B$1:$BQ$1,1,$AA317)))</f>
        <v/>
      </c>
    </row>
    <row r="318" spans="1:29" hidden="1" outlineLevel="1" x14ac:dyDescent="0.3">
      <c r="A318" s="22" t="s">
        <v>84</v>
      </c>
      <c r="B318" s="41" t="str">
        <f t="shared" si="30"/>
        <v/>
      </c>
      <c r="C318" s="42">
        <f t="shared" si="29"/>
        <v>317</v>
      </c>
      <c r="D318" s="38"/>
      <c r="E318" s="38"/>
      <c r="F318" s="38" t="s">
        <v>9</v>
      </c>
      <c r="G318" s="38"/>
      <c r="H318" s="38"/>
      <c r="I318" s="38" t="s">
        <v>9</v>
      </c>
      <c r="J318" s="38"/>
      <c r="K318" s="14" t="s">
        <v>24</v>
      </c>
      <c r="L318" s="14" t="s">
        <v>27</v>
      </c>
      <c r="M318" s="20" t="s">
        <v>850</v>
      </c>
      <c r="N318" s="14" t="s">
        <v>821</v>
      </c>
      <c r="O318" s="43">
        <v>0.05</v>
      </c>
      <c r="R318" s="38" t="s">
        <v>104</v>
      </c>
      <c r="S318" s="38"/>
      <c r="T318" s="38"/>
      <c r="W318" s="15" t="str">
        <f>IF(IFERROR(VLOOKUP($M318,#REF!,1,0),"-")="-","","GS")</f>
        <v/>
      </c>
      <c r="Z318" s="59" t="str">
        <f>IF(OR($M318="",NOT($O318="{array}")),"",IFERROR(MATCH(PARAMETERS!$M318,DEFAULT!$B$5:$CI$5,0),""))</f>
        <v/>
      </c>
      <c r="AA318" s="56" t="str">
        <f t="shared" si="28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IF($AA318="","",IF($B318="I",VLOOKUP($AA318,#REF!,53,0),INDEX(VALUES!$B$1:$BQ$1,1,$AA318)))</f>
        <v/>
      </c>
    </row>
    <row r="319" spans="1:29" hidden="1" outlineLevel="1" x14ac:dyDescent="0.3">
      <c r="A319" s="22" t="s">
        <v>84</v>
      </c>
      <c r="B319" s="41" t="str">
        <f t="shared" si="30"/>
        <v/>
      </c>
      <c r="C319" s="42">
        <f t="shared" si="29"/>
        <v>318</v>
      </c>
      <c r="D319" s="38"/>
      <c r="E319" s="38"/>
      <c r="F319" s="38" t="s">
        <v>9</v>
      </c>
      <c r="G319" s="38"/>
      <c r="H319" s="38"/>
      <c r="I319" s="38" t="s">
        <v>9</v>
      </c>
      <c r="J319" s="38"/>
      <c r="K319" s="14" t="s">
        <v>24</v>
      </c>
      <c r="L319" s="14" t="s">
        <v>27</v>
      </c>
      <c r="M319" s="20" t="s">
        <v>851</v>
      </c>
      <c r="N319" s="14" t="s">
        <v>823</v>
      </c>
      <c r="O319" s="43">
        <v>0.05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IF(OR($M319="",NOT($O319="{array}")),"",IFERROR(MATCH(PARAMETERS!$M319,DEFAULT!$B$5:$CI$5,0),""))</f>
        <v/>
      </c>
      <c r="AA319" s="56" t="str">
        <f t="shared" si="28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IF($AA319="","",IF($B319="I",VLOOKUP($AA319,#REF!,53,0),INDEX(VALUES!$B$1:$BQ$1,1,$AA319)))</f>
        <v/>
      </c>
    </row>
    <row r="320" spans="1:29" hidden="1" outlineLevel="1" x14ac:dyDescent="0.3">
      <c r="A320" s="22" t="s">
        <v>84</v>
      </c>
      <c r="B320" s="41" t="str">
        <f t="shared" si="30"/>
        <v/>
      </c>
      <c r="C320" s="42">
        <f t="shared" si="29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24</v>
      </c>
      <c r="L320" s="14" t="s">
        <v>27</v>
      </c>
      <c r="M320" s="20" t="s">
        <v>852</v>
      </c>
      <c r="N320" s="14" t="s">
        <v>738</v>
      </c>
      <c r="O320" s="43">
        <v>0.05</v>
      </c>
      <c r="R320" s="38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IF(OR($M320="",NOT($O320="{array}")),"",IFERROR(MATCH(PARAMETERS!$M320,DEFAULT!$B$5:$CI$5,0),""))</f>
        <v/>
      </c>
      <c r="AA320" s="56" t="str">
        <f t="shared" si="28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IF($AA320="","",IF($B320="I",VLOOKUP($AA320,#REF!,53,0),INDEX(VALUES!$B$1:$BQ$1,1,$AA320)))</f>
        <v/>
      </c>
    </row>
    <row r="321" spans="1:29" hidden="1" outlineLevel="1" x14ac:dyDescent="0.3">
      <c r="A321" s="22" t="s">
        <v>84</v>
      </c>
      <c r="B321" s="41" t="str">
        <f t="shared" si="30"/>
        <v/>
      </c>
      <c r="C321" s="42">
        <f t="shared" si="29"/>
        <v>320</v>
      </c>
      <c r="D321" s="38"/>
      <c r="E321" s="38"/>
      <c r="F321" s="38" t="s">
        <v>9</v>
      </c>
      <c r="G321" s="38"/>
      <c r="H321" s="38"/>
      <c r="I321" s="38" t="s">
        <v>9</v>
      </c>
      <c r="J321" s="38"/>
      <c r="K321" s="14" t="s">
        <v>24</v>
      </c>
      <c r="L321" s="14" t="s">
        <v>27</v>
      </c>
      <c r="M321" s="20" t="s">
        <v>853</v>
      </c>
      <c r="N321" s="14" t="s">
        <v>826</v>
      </c>
      <c r="O321" s="43">
        <v>1.9E-2</v>
      </c>
      <c r="R321" s="38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IF(OR($M321="",NOT($O321="{array}")),"",IFERROR(MATCH(PARAMETERS!$M321,DEFAULT!$B$5:$CI$5,0),""))</f>
        <v/>
      </c>
      <c r="AA321" s="56" t="str">
        <f t="shared" si="28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IF($AA321="","",IF($B321="I",VLOOKUP($AA321,#REF!,53,0),INDEX(VALUES!$B$1:$BQ$1,1,$AA321)))</f>
        <v/>
      </c>
    </row>
    <row r="322" spans="1:29" hidden="1" outlineLevel="1" x14ac:dyDescent="0.3">
      <c r="A322" s="22" t="s">
        <v>84</v>
      </c>
      <c r="B322" s="41" t="str">
        <f t="shared" si="30"/>
        <v/>
      </c>
      <c r="C322" s="42">
        <f t="shared" si="29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14" t="s">
        <v>24</v>
      </c>
      <c r="L322" s="14" t="s">
        <v>27</v>
      </c>
      <c r="M322" s="20" t="s">
        <v>854</v>
      </c>
      <c r="N322" s="14" t="s">
        <v>828</v>
      </c>
      <c r="O322" s="43">
        <v>2.5000000000000001E-2</v>
      </c>
      <c r="R322" s="38" t="s">
        <v>104</v>
      </c>
      <c r="S322" s="38"/>
      <c r="T322" s="38"/>
      <c r="W322" s="15" t="str">
        <f>IF(IFERROR(VLOOKUP($M322,#REF!,1,0),"-")="-","","GS")</f>
        <v/>
      </c>
      <c r="Z322" s="59" t="str">
        <f>IF(OR($M322="",NOT($O322="{array}")),"",IFERROR(MATCH(PARAMETERS!$M322,DEFAULT!$B$5:$CI$5,0),""))</f>
        <v/>
      </c>
      <c r="AA322" s="56" t="str">
        <f t="shared" si="28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IF($AA322="","",IF($B322="I",VLOOKUP($AA322,#REF!,53,0),INDEX(VALUES!$B$1:$BQ$1,1,$AA322)))</f>
        <v/>
      </c>
    </row>
    <row r="323" spans="1:29" hidden="1" outlineLevel="1" x14ac:dyDescent="0.3">
      <c r="A323" s="22" t="s">
        <v>84</v>
      </c>
      <c r="B323" s="41" t="str">
        <f t="shared" si="30"/>
        <v/>
      </c>
      <c r="C323" s="42">
        <f t="shared" si="29"/>
        <v>322</v>
      </c>
      <c r="D323" s="38"/>
      <c r="E323" s="38"/>
      <c r="F323" s="38" t="s">
        <v>9</v>
      </c>
      <c r="G323" s="38"/>
      <c r="H323" s="38"/>
      <c r="I323" s="38" t="s">
        <v>9</v>
      </c>
      <c r="J323" s="38"/>
      <c r="K323" s="14" t="s">
        <v>24</v>
      </c>
      <c r="L323" s="14" t="s">
        <v>27</v>
      </c>
      <c r="M323" s="20" t="s">
        <v>855</v>
      </c>
      <c r="N323" s="14" t="s">
        <v>830</v>
      </c>
      <c r="O323" s="43">
        <v>0</v>
      </c>
      <c r="R323" s="38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IF(OR($M323="",NOT($O323="{array}")),"",IFERROR(MATCH(PARAMETERS!$M323,DEFAULT!$B$5:$CI$5,0),""))</f>
        <v/>
      </c>
      <c r="AA323" s="56" t="str">
        <f t="shared" si="28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IF($AA323="","",IF($B323="I",VLOOKUP($AA323,#REF!,53,0),INDEX(VALUES!$B$1:$BQ$1,1,$AA323)))</f>
        <v/>
      </c>
    </row>
    <row r="324" spans="1:29" hidden="1" outlineLevel="1" x14ac:dyDescent="0.3">
      <c r="A324" s="22" t="s">
        <v>84</v>
      </c>
      <c r="B324" s="41" t="str">
        <f t="shared" si="30"/>
        <v/>
      </c>
      <c r="C324" s="42">
        <f t="shared" si="29"/>
        <v>323</v>
      </c>
      <c r="D324" s="38"/>
      <c r="E324" s="38"/>
      <c r="F324" s="38" t="s">
        <v>9</v>
      </c>
      <c r="G324" s="38"/>
      <c r="H324" s="38"/>
      <c r="I324" s="38" t="s">
        <v>9</v>
      </c>
      <c r="J324" s="38"/>
      <c r="K324" s="14" t="s">
        <v>24</v>
      </c>
      <c r="L324" s="14" t="s">
        <v>27</v>
      </c>
      <c r="M324" s="20" t="s">
        <v>856</v>
      </c>
      <c r="N324" s="14" t="s">
        <v>832</v>
      </c>
      <c r="O324" s="43">
        <v>0.03</v>
      </c>
      <c r="R324" s="38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IF(OR($M324="",NOT($O324="{array}")),"",IFERROR(MATCH(PARAMETERS!$M324,DEFAULT!$B$5:$CI$5,0),""))</f>
        <v/>
      </c>
      <c r="AA324" s="56" t="str">
        <f t="shared" si="28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IF($AA324="","",IF($B324="I",VLOOKUP($AA324,#REF!,53,0),INDEX(VALUES!$B$1:$BQ$1,1,$AA324)))</f>
        <v/>
      </c>
    </row>
    <row r="325" spans="1:29" hidden="1" outlineLevel="1" x14ac:dyDescent="0.3">
      <c r="A325" s="22" t="s">
        <v>84</v>
      </c>
      <c r="B325" s="41" t="str">
        <f t="shared" si="30"/>
        <v/>
      </c>
      <c r="C325" s="42">
        <f t="shared" si="29"/>
        <v>324</v>
      </c>
      <c r="D325" s="38"/>
      <c r="E325" s="38"/>
      <c r="F325" s="38" t="s">
        <v>9</v>
      </c>
      <c r="G325" s="38"/>
      <c r="H325" s="38"/>
      <c r="I325" s="38" t="s">
        <v>9</v>
      </c>
      <c r="J325" s="38"/>
      <c r="K325" s="14" t="s">
        <v>24</v>
      </c>
      <c r="L325" s="14" t="s">
        <v>27</v>
      </c>
      <c r="M325" s="20" t="s">
        <v>857</v>
      </c>
      <c r="N325" s="14" t="s">
        <v>834</v>
      </c>
      <c r="O325" s="43">
        <v>0.1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IF(OR($M325="",NOT($O325="{array}")),"",IFERROR(MATCH(PARAMETERS!$M325,DEFAULT!$B$5:$CI$5,0),""))</f>
        <v/>
      </c>
      <c r="AA325" s="56" t="str">
        <f t="shared" si="28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IF($AA325="","",IF($B325="I",VLOOKUP($AA325,#REF!,53,0),INDEX(VALUES!$B$1:$BQ$1,1,$AA325)))</f>
        <v/>
      </c>
    </row>
    <row r="326" spans="1:29" hidden="1" outlineLevel="1" x14ac:dyDescent="0.3">
      <c r="A326" s="22" t="s">
        <v>84</v>
      </c>
      <c r="B326" s="41" t="str">
        <f t="shared" si="30"/>
        <v/>
      </c>
      <c r="C326" s="42">
        <f t="shared" si="29"/>
        <v>325</v>
      </c>
      <c r="D326" s="38"/>
      <c r="E326" s="38"/>
      <c r="F326" s="38" t="s">
        <v>9</v>
      </c>
      <c r="G326" s="38"/>
      <c r="H326" s="38"/>
      <c r="I326" s="38" t="s">
        <v>9</v>
      </c>
      <c r="J326" s="38"/>
      <c r="K326" s="14" t="s">
        <v>52</v>
      </c>
      <c r="L326" s="14" t="s">
        <v>27</v>
      </c>
      <c r="M326" s="20" t="s">
        <v>858</v>
      </c>
      <c r="N326" s="14" t="s">
        <v>859</v>
      </c>
      <c r="O326" s="43">
        <v>65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IF(OR($M326="",NOT($O326="{array}")),"",IFERROR(MATCH(PARAMETERS!$M326,DEFAULT!$B$5:$CI$5,0),""))</f>
        <v/>
      </c>
      <c r="AA326" s="56" t="str">
        <f t="shared" si="28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IF($AA326="","",IF($B326="I",VLOOKUP($AA326,#REF!,53,0),INDEX(VALUES!$B$1:$BQ$1,1,$AA326)))</f>
        <v/>
      </c>
    </row>
    <row r="327" spans="1:29" hidden="1" outlineLevel="1" x14ac:dyDescent="0.3">
      <c r="A327" s="22" t="s">
        <v>84</v>
      </c>
      <c r="B327" s="41" t="str">
        <f t="shared" si="30"/>
        <v/>
      </c>
      <c r="C327" s="42">
        <f t="shared" si="29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53</v>
      </c>
      <c r="L327" s="14" t="s">
        <v>27</v>
      </c>
      <c r="M327" s="20" t="s">
        <v>860</v>
      </c>
      <c r="N327" s="14" t="s">
        <v>861</v>
      </c>
      <c r="O327" s="43">
        <v>19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IF(OR($M327="",NOT($O327="{array}")),"",IFERROR(MATCH(PARAMETERS!$M327,DEFAULT!$B$5:$CI$5,0),""))</f>
        <v/>
      </c>
      <c r="AA327" s="56" t="str">
        <f t="shared" ref="AA327:AA358" si="31">IF($M327="","",IFERROR(MATCH($M327,VALUESnames,0),""))</f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IF($AA327="","",IF($B327="I",VLOOKUP($AA327,#REF!,53,0),INDEX(VALUES!$B$1:$BQ$1,1,$AA327)))</f>
        <v/>
      </c>
    </row>
    <row r="328" spans="1:29" hidden="1" outlineLevel="1" x14ac:dyDescent="0.3">
      <c r="A328" s="22" t="s">
        <v>84</v>
      </c>
      <c r="B328" s="41" t="str">
        <f t="shared" si="30"/>
        <v/>
      </c>
      <c r="C328" s="42">
        <f t="shared" ref="C328:C359" si="32">(ROW()-1)</f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53</v>
      </c>
      <c r="L328" s="14" t="s">
        <v>27</v>
      </c>
      <c r="M328" s="20" t="s">
        <v>862</v>
      </c>
      <c r="N328" s="14" t="s">
        <v>863</v>
      </c>
      <c r="O328" s="43">
        <v>19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IF(OR($M328="",NOT($O328="{array}")),"",IFERROR(MATCH(PARAMETERS!$M328,DEFAULT!$B$5:$CI$5,0),""))</f>
        <v/>
      </c>
      <c r="AA328" s="56" t="str">
        <f t="shared" si="31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IF($AA328="","",IF($B328="I",VLOOKUP($AA328,#REF!,53,0),INDEX(VALUES!$B$1:$BQ$1,1,$AA328)))</f>
        <v/>
      </c>
    </row>
    <row r="329" spans="1:29" hidden="1" outlineLevel="1" x14ac:dyDescent="0.3">
      <c r="A329" s="22" t="s">
        <v>84</v>
      </c>
      <c r="B329" s="41" t="str">
        <f t="shared" si="30"/>
        <v/>
      </c>
      <c r="C329" s="42">
        <f t="shared" si="32"/>
        <v>328</v>
      </c>
      <c r="D329" s="38"/>
      <c r="E329" s="38"/>
      <c r="F329" s="38"/>
      <c r="G329" s="38"/>
      <c r="H329" s="38"/>
      <c r="I329" s="38" t="s">
        <v>9</v>
      </c>
      <c r="J329" s="38"/>
      <c r="K329" s="14" t="s">
        <v>53</v>
      </c>
      <c r="L329" s="14" t="s">
        <v>27</v>
      </c>
      <c r="M329" s="20" t="s">
        <v>864</v>
      </c>
      <c r="N329" s="14" t="s">
        <v>865</v>
      </c>
      <c r="O329" s="43">
        <v>19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IF(OR($M329="",NOT($O329="{array}")),"",IFERROR(MATCH(PARAMETERS!$M329,DEFAULT!$B$5:$CI$5,0),""))</f>
        <v/>
      </c>
      <c r="AA329" s="56" t="str">
        <f t="shared" si="31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IF($AA329="","",IF($B329="I",VLOOKUP($AA329,#REF!,53,0),INDEX(VALUES!$B$1:$BQ$1,1,$AA329)))</f>
        <v/>
      </c>
    </row>
    <row r="330" spans="1:29" collapsed="1" x14ac:dyDescent="0.3">
      <c r="A330" s="22" t="s">
        <v>84</v>
      </c>
      <c r="B330" s="41" t="str">
        <f t="shared" si="30"/>
        <v/>
      </c>
      <c r="C330" s="42">
        <f t="shared" si="32"/>
        <v>329</v>
      </c>
      <c r="D330" s="38"/>
      <c r="E330" s="38"/>
      <c r="F330" s="38" t="s">
        <v>9</v>
      </c>
      <c r="G330" s="38"/>
      <c r="H330" s="38"/>
      <c r="I330" s="38"/>
      <c r="J330" s="38"/>
      <c r="K330" s="14" t="s">
        <v>57</v>
      </c>
      <c r="L330" s="14" t="s">
        <v>38</v>
      </c>
      <c r="M330" s="48" t="s">
        <v>866</v>
      </c>
      <c r="N330" s="41" t="s">
        <v>867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IF(OR($M330="",NOT($O330="{array}")),"",IFERROR(MATCH(PARAMETERS!$M330,DEFAULT!$B$5:$CI$5,0),""))</f>
        <v/>
      </c>
      <c r="AA330" s="56" t="str">
        <f t="shared" si="31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IF($AA330="","",IF($B330="I",VLOOKUP($AA330,#REF!,53,0),INDEX(VALUES!$B$1:$BQ$1,1,$AA330)))</f>
        <v/>
      </c>
    </row>
    <row r="331" spans="1:29" hidden="1" outlineLevel="1" x14ac:dyDescent="0.3">
      <c r="A331" s="22" t="s">
        <v>84</v>
      </c>
      <c r="B331" s="41" t="str">
        <f t="shared" si="30"/>
        <v/>
      </c>
      <c r="C331" s="42">
        <f t="shared" si="32"/>
        <v>330</v>
      </c>
      <c r="D331" s="38"/>
      <c r="E331" s="38"/>
      <c r="F331" s="38"/>
      <c r="G331" s="38"/>
      <c r="H331" s="38"/>
      <c r="I331" s="38" t="s">
        <v>9</v>
      </c>
      <c r="J331" s="38"/>
      <c r="K331" s="53" t="s">
        <v>44</v>
      </c>
      <c r="L331" s="53" t="s">
        <v>27</v>
      </c>
      <c r="M331" s="157" t="s">
        <v>1142</v>
      </c>
      <c r="N331" s="53" t="s">
        <v>1143</v>
      </c>
      <c r="O331" s="155">
        <v>4</v>
      </c>
      <c r="P331" s="53"/>
      <c r="Q331" s="208"/>
      <c r="R331" s="208" t="s">
        <v>195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IF(OR($M331="",NOT($O331="{array}")),"",IFERROR(MATCH(PARAMETERS!$M331,DEFAULT!$B$5:$CI$5,0),""))</f>
        <v/>
      </c>
      <c r="AA331" s="56" t="str">
        <f t="shared" si="31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IF($AA331="","",IF($B331="I",VLOOKUP($AA331,#REF!,53,0),INDEX(VALUES!$B$1:$BQ$1,1,$AA331)))</f>
        <v/>
      </c>
    </row>
    <row r="332" spans="1:29" hidden="1" outlineLevel="1" x14ac:dyDescent="0.3">
      <c r="A332" s="22" t="s">
        <v>84</v>
      </c>
      <c r="B332" s="41" t="str">
        <f t="shared" si="30"/>
        <v/>
      </c>
      <c r="C332" s="42">
        <f t="shared" si="32"/>
        <v>331</v>
      </c>
      <c r="D332" s="38"/>
      <c r="E332" s="38"/>
      <c r="F332" s="38"/>
      <c r="G332" s="38"/>
      <c r="H332" s="38"/>
      <c r="I332" s="38" t="s">
        <v>9</v>
      </c>
      <c r="J332" s="38"/>
      <c r="K332" s="53" t="s">
        <v>44</v>
      </c>
      <c r="L332" s="53" t="s">
        <v>27</v>
      </c>
      <c r="M332" s="157" t="s">
        <v>1156</v>
      </c>
      <c r="N332" s="53" t="s">
        <v>1157</v>
      </c>
      <c r="O332" s="155">
        <v>4</v>
      </c>
      <c r="P332" s="53"/>
      <c r="Q332" s="208"/>
      <c r="R332" s="208" t="s">
        <v>195</v>
      </c>
      <c r="S332" s="38"/>
      <c r="T332" s="38"/>
      <c r="W332" s="15" t="str">
        <f>IF(IFERROR(VLOOKUP($M332,#REF!,1,0),"-")="-","","GS")</f>
        <v/>
      </c>
      <c r="Z332" s="59" t="str">
        <f>IF(OR($M332="",NOT($O332="{array}")),"",IFERROR(MATCH(PARAMETERS!$M332,DEFAULT!$B$5:$CI$5,0),""))</f>
        <v/>
      </c>
      <c r="AA332" s="56" t="str">
        <f t="shared" si="31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IF($AA332="","",IF($B332="I",VLOOKUP($AA332,#REF!,53,0),INDEX(VALUES!$B$1:$BQ$1,1,$AA332)))</f>
        <v/>
      </c>
    </row>
    <row r="333" spans="1:29" hidden="1" outlineLevel="1" x14ac:dyDescent="0.3">
      <c r="A333" s="22" t="s">
        <v>84</v>
      </c>
      <c r="B333" s="41" t="str">
        <f t="shared" si="30"/>
        <v/>
      </c>
      <c r="C333" s="42">
        <f t="shared" si="32"/>
        <v>332</v>
      </c>
      <c r="D333" s="38"/>
      <c r="E333" s="38"/>
      <c r="F333" s="38"/>
      <c r="G333" s="38"/>
      <c r="H333" s="38"/>
      <c r="I333" s="38" t="s">
        <v>9</v>
      </c>
      <c r="J333" s="38"/>
      <c r="K333" s="53" t="s">
        <v>44</v>
      </c>
      <c r="L333" s="53" t="s">
        <v>27</v>
      </c>
      <c r="M333" s="157" t="s">
        <v>1154</v>
      </c>
      <c r="N333" s="53" t="s">
        <v>1155</v>
      </c>
      <c r="O333" s="155">
        <v>4</v>
      </c>
      <c r="P333" s="53"/>
      <c r="Q333" s="208"/>
      <c r="R333" s="208" t="s">
        <v>195</v>
      </c>
      <c r="S333" s="38"/>
      <c r="T333" s="38"/>
      <c r="W333" s="15" t="str">
        <f>IF(IFERROR(VLOOKUP($M333,#REF!,1,0),"-")="-","","GS")</f>
        <v/>
      </c>
      <c r="Z333" s="59" t="str">
        <f>IF(OR($M333="",NOT($O333="{array}")),"",IFERROR(MATCH(PARAMETERS!$M333,DEFAULT!$B$5:$CI$5,0),""))</f>
        <v/>
      </c>
      <c r="AA333" s="56" t="str">
        <f t="shared" si="31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IF($AA333="","",IF($B333="I",VLOOKUP($AA333,#REF!,53,0),INDEX(VALUES!$B$1:$BQ$1,1,$AA333)))</f>
        <v/>
      </c>
    </row>
    <row r="334" spans="1:29" hidden="1" outlineLevel="1" x14ac:dyDescent="0.3">
      <c r="A334" s="22" t="s">
        <v>84</v>
      </c>
      <c r="B334" s="41" t="str">
        <f t="shared" si="30"/>
        <v/>
      </c>
      <c r="C334" s="42">
        <f t="shared" si="32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14" t="s">
        <v>44</v>
      </c>
      <c r="L334" s="14" t="s">
        <v>27</v>
      </c>
      <c r="M334" s="20" t="s">
        <v>868</v>
      </c>
      <c r="N334" s="14" t="s">
        <v>869</v>
      </c>
      <c r="O334" s="43">
        <v>2</v>
      </c>
      <c r="R334" s="38" t="s">
        <v>104</v>
      </c>
      <c r="S334" s="38"/>
      <c r="T334" s="38"/>
      <c r="W334" s="15" t="str">
        <f>IF(IFERROR(VLOOKUP($M334,#REF!,1,0),"-")="-","","GS")</f>
        <v/>
      </c>
      <c r="Z334" s="59" t="str">
        <f>IF(OR($M334="",NOT($O334="{array}")),"",IFERROR(MATCH(PARAMETERS!$M334,DEFAULT!$B$5:$CI$5,0),""))</f>
        <v/>
      </c>
      <c r="AA334" s="56" t="str">
        <f t="shared" si="31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IF($AA334="","",IF($B334="I",VLOOKUP($AA334,#REF!,53,0),INDEX(VALUES!$B$1:$BQ$1,1,$AA334)))</f>
        <v/>
      </c>
    </row>
    <row r="335" spans="1:29" hidden="1" outlineLevel="1" x14ac:dyDescent="0.3">
      <c r="A335" s="22" t="s">
        <v>84</v>
      </c>
      <c r="B335" s="41" t="str">
        <f t="shared" si="30"/>
        <v/>
      </c>
      <c r="C335" s="42">
        <f t="shared" si="32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31</v>
      </c>
      <c r="L335" s="14" t="s">
        <v>27</v>
      </c>
      <c r="M335" s="151" t="s">
        <v>870</v>
      </c>
      <c r="N335" s="14" t="s">
        <v>871</v>
      </c>
      <c r="O335" s="43">
        <v>90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IF(OR($M335="",NOT($O335="{array}")),"",IFERROR(MATCH(PARAMETERS!$M335,DEFAULT!$B$5:$CI$5,0),""))</f>
        <v/>
      </c>
      <c r="AA335" s="56" t="str">
        <f t="shared" si="31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IF($AA335="","",IF($B335="I",VLOOKUP($AA335,#REF!,53,0),INDEX(VALUES!$B$1:$BQ$1,1,$AA335)))</f>
        <v/>
      </c>
    </row>
    <row r="336" spans="1:29" hidden="1" outlineLevel="1" x14ac:dyDescent="0.3">
      <c r="A336" s="22" t="s">
        <v>84</v>
      </c>
      <c r="B336" s="41" t="str">
        <f t="shared" si="30"/>
        <v/>
      </c>
      <c r="C336" s="42">
        <f t="shared" si="32"/>
        <v>335</v>
      </c>
      <c r="D336" s="38"/>
      <c r="E336" s="38"/>
      <c r="F336" s="38"/>
      <c r="G336" s="38"/>
      <c r="H336" s="38"/>
      <c r="I336" s="38" t="s">
        <v>9</v>
      </c>
      <c r="J336" s="38"/>
      <c r="K336" s="14" t="s">
        <v>31</v>
      </c>
      <c r="L336" s="14" t="s">
        <v>27</v>
      </c>
      <c r="M336" s="151" t="s">
        <v>872</v>
      </c>
      <c r="N336" s="14" t="s">
        <v>873</v>
      </c>
      <c r="O336" s="43">
        <v>90</v>
      </c>
      <c r="R336" s="38" t="s">
        <v>104</v>
      </c>
      <c r="S336" s="38"/>
      <c r="T336" s="38"/>
      <c r="W336" s="15" t="str">
        <f>IF(IFERROR(VLOOKUP($M336,#REF!,1,0),"-")="-","","GS")</f>
        <v/>
      </c>
      <c r="Z336" s="59" t="str">
        <f>IF(OR($M336="",NOT($O336="{array}")),"",IFERROR(MATCH(PARAMETERS!$M336,DEFAULT!$B$5:$CI$5,0),""))</f>
        <v/>
      </c>
      <c r="AA336" s="56" t="str">
        <f t="shared" si="31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IF($AA336="","",IF($B336="I",VLOOKUP($AA336,#REF!,53,0),INDEX(VALUES!$B$1:$BQ$1,1,$AA336)))</f>
        <v/>
      </c>
    </row>
    <row r="337" spans="1:29" hidden="1" outlineLevel="1" x14ac:dyDescent="0.3">
      <c r="A337" s="22" t="s">
        <v>84</v>
      </c>
      <c r="B337" s="41" t="str">
        <f t="shared" si="30"/>
        <v/>
      </c>
      <c r="C337" s="42">
        <f t="shared" si="32"/>
        <v>336</v>
      </c>
      <c r="D337" s="38"/>
      <c r="E337" s="38"/>
      <c r="F337" s="38" t="s">
        <v>9</v>
      </c>
      <c r="G337" s="38"/>
      <c r="H337" s="38"/>
      <c r="I337" s="38" t="s">
        <v>9</v>
      </c>
      <c r="J337" s="38"/>
      <c r="K337" s="212" t="s">
        <v>31</v>
      </c>
      <c r="L337" s="212" t="s">
        <v>27</v>
      </c>
      <c r="M337" s="229" t="s">
        <v>874</v>
      </c>
      <c r="N337" s="212" t="s">
        <v>875</v>
      </c>
      <c r="O337" s="213">
        <v>0</v>
      </c>
      <c r="P337" s="212"/>
      <c r="Q337" s="214"/>
      <c r="R337" s="214" t="s">
        <v>104</v>
      </c>
      <c r="S337" s="38"/>
      <c r="T337" s="38"/>
      <c r="W337" s="15" t="str">
        <f>IF(IFERROR(VLOOKUP($M337,#REF!,1,0),"-")="-","","GS")</f>
        <v/>
      </c>
      <c r="Z337" s="59" t="str">
        <f>IF(OR($M337="",NOT($O337="{array}")),"",IFERROR(MATCH(PARAMETERS!$M337,DEFAULT!$B$5:$CI$5,0),""))</f>
        <v/>
      </c>
      <c r="AA337" s="56" t="str">
        <f t="shared" si="31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IF($AA337="","",IF($B337="I",VLOOKUP($AA337,#REF!,53,0),INDEX(VALUES!$B$1:$BQ$1,1,$AA337)))</f>
        <v/>
      </c>
    </row>
    <row r="338" spans="1:29" hidden="1" outlineLevel="1" x14ac:dyDescent="0.3">
      <c r="A338" s="22" t="s">
        <v>84</v>
      </c>
      <c r="B338" s="41" t="str">
        <f t="shared" si="30"/>
        <v/>
      </c>
      <c r="C338" s="42">
        <f t="shared" si="32"/>
        <v>337</v>
      </c>
      <c r="D338" s="38"/>
      <c r="E338" s="38"/>
      <c r="F338" s="38"/>
      <c r="G338" s="38"/>
      <c r="H338" s="38"/>
      <c r="I338" s="38" t="s">
        <v>9</v>
      </c>
      <c r="J338" s="38"/>
      <c r="K338" s="212" t="s">
        <v>31</v>
      </c>
      <c r="L338" s="212" t="s">
        <v>27</v>
      </c>
      <c r="M338" s="229" t="s">
        <v>876</v>
      </c>
      <c r="N338" s="212" t="s">
        <v>877</v>
      </c>
      <c r="O338" s="213">
        <v>0</v>
      </c>
      <c r="P338" s="212"/>
      <c r="Q338" s="214"/>
      <c r="R338" s="214" t="s">
        <v>104</v>
      </c>
      <c r="S338" s="38"/>
      <c r="T338" s="38"/>
      <c r="W338" s="15" t="str">
        <f>IF(IFERROR(VLOOKUP($M338,#REF!,1,0),"-")="-","","GS")</f>
        <v/>
      </c>
      <c r="Z338" s="59" t="str">
        <f>IF(OR($M338="",NOT($O338="{array}")),"",IFERROR(MATCH(PARAMETERS!$M338,DEFAULT!$B$5:$CI$5,0),""))</f>
        <v/>
      </c>
      <c r="AA338" s="56" t="str">
        <f t="shared" si="31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IF($AA338="","",IF($B338="I",VLOOKUP($AA338,#REF!,53,0),INDEX(VALUES!$B$1:$BQ$1,1,$AA338)))</f>
        <v/>
      </c>
    </row>
    <row r="339" spans="1:29" hidden="1" outlineLevel="1" x14ac:dyDescent="0.3">
      <c r="A339" s="22" t="s">
        <v>84</v>
      </c>
      <c r="B339" s="41" t="str">
        <f t="shared" si="30"/>
        <v>A</v>
      </c>
      <c r="C339" s="42">
        <f t="shared" si="32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53" t="s">
        <v>31</v>
      </c>
      <c r="L339" s="53" t="s">
        <v>27</v>
      </c>
      <c r="M339" s="157" t="s">
        <v>1167</v>
      </c>
      <c r="N339" s="53" t="s">
        <v>1168</v>
      </c>
      <c r="O339" s="155" t="s">
        <v>33</v>
      </c>
      <c r="P339" s="53"/>
      <c r="Q339" s="208"/>
      <c r="R339" s="208" t="s">
        <v>195</v>
      </c>
      <c r="S339" s="38"/>
      <c r="T339" s="38"/>
      <c r="W339" s="15" t="str">
        <f>IF(IFERROR(VLOOKUP($M339,#REF!,1,0),"-")="-","","GS")</f>
        <v/>
      </c>
      <c r="Z339" s="59">
        <f>IF(OR($M339="",NOT($O339="{array}")),"",IFERROR(MATCH(PARAMETERS!$M339,DEFAULT!$B$5:$CI$5,0),""))</f>
        <v>72</v>
      </c>
      <c r="AA339" s="56" t="str">
        <f t="shared" si="31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IF($AA339="","",IF($B339="I",VLOOKUP($AA339,#REF!,53,0),INDEX(VALUES!$B$1:$BQ$1,1,$AA339)))</f>
        <v/>
      </c>
    </row>
    <row r="340" spans="1:29" hidden="1" outlineLevel="1" x14ac:dyDescent="0.3">
      <c r="A340" s="22" t="s">
        <v>84</v>
      </c>
      <c r="B340" s="41" t="str">
        <f t="shared" si="30"/>
        <v/>
      </c>
      <c r="C340" s="42">
        <f t="shared" si="32"/>
        <v>339</v>
      </c>
      <c r="D340" s="38"/>
      <c r="E340" s="38"/>
      <c r="F340" s="38"/>
      <c r="G340" s="38"/>
      <c r="H340" s="38"/>
      <c r="I340" s="38" t="s">
        <v>9</v>
      </c>
      <c r="J340" s="38"/>
      <c r="K340" s="14" t="s">
        <v>47</v>
      </c>
      <c r="L340" s="14" t="s">
        <v>27</v>
      </c>
      <c r="M340" s="20" t="s">
        <v>878</v>
      </c>
      <c r="N340" s="14" t="s">
        <v>879</v>
      </c>
      <c r="O340" s="43">
        <v>1</v>
      </c>
      <c r="R340" s="38" t="s">
        <v>104</v>
      </c>
      <c r="S340" s="38"/>
      <c r="T340" s="38"/>
      <c r="W340" s="15" t="str">
        <f>IF(IFERROR(VLOOKUP($M340,#REF!,1,0),"-")="-","","GS")</f>
        <v/>
      </c>
      <c r="Z340" s="59" t="str">
        <f>IF(OR($M340="",NOT($O340="{array}")),"",IFERROR(MATCH(PARAMETERS!$M340,DEFAULT!$B$5:$CI$5,0),""))</f>
        <v/>
      </c>
      <c r="AA340" s="56" t="str">
        <f t="shared" si="31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IF($AA340="","",IF($B340="I",VLOOKUP($AA340,#REF!,53,0),INDEX(VALUES!$B$1:$BQ$1,1,$AA340)))</f>
        <v/>
      </c>
    </row>
    <row r="341" spans="1:29" hidden="1" outlineLevel="1" x14ac:dyDescent="0.3">
      <c r="A341" s="22" t="s">
        <v>84</v>
      </c>
      <c r="B341" s="41" t="str">
        <f t="shared" si="30"/>
        <v/>
      </c>
      <c r="C341" s="42">
        <f t="shared" si="32"/>
        <v>340</v>
      </c>
      <c r="D341" s="38"/>
      <c r="E341" s="38"/>
      <c r="F341" s="38" t="s">
        <v>9</v>
      </c>
      <c r="G341" s="38"/>
      <c r="H341" s="38" t="s">
        <v>9</v>
      </c>
      <c r="I341" s="38" t="s">
        <v>9</v>
      </c>
      <c r="J341" s="38"/>
      <c r="K341" s="14" t="s">
        <v>47</v>
      </c>
      <c r="L341" s="14" t="s">
        <v>27</v>
      </c>
      <c r="M341" s="20" t="s">
        <v>880</v>
      </c>
      <c r="N341" s="14" t="s">
        <v>881</v>
      </c>
      <c r="O341" s="43">
        <v>0</v>
      </c>
      <c r="R341" s="38" t="s">
        <v>104</v>
      </c>
      <c r="S341" s="38"/>
      <c r="T341" s="38"/>
      <c r="W341" s="15" t="str">
        <f>IF(IFERROR(VLOOKUP($M341,#REF!,1,0),"-")="-","","GS")</f>
        <v/>
      </c>
      <c r="Z341" s="59" t="str">
        <f>IF(OR($M341="",NOT($O341="{array}")),"",IFERROR(MATCH(PARAMETERS!$M341,DEFAULT!$B$5:$CI$5,0),""))</f>
        <v/>
      </c>
      <c r="AA341" s="56" t="str">
        <f t="shared" si="31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IF($AA341="","",IF($B341="I",VLOOKUP($AA341,#REF!,53,0),INDEX(VALUES!$B$1:$BQ$1,1,$AA341)))</f>
        <v/>
      </c>
    </row>
    <row r="342" spans="1:29" hidden="1" outlineLevel="1" x14ac:dyDescent="0.3">
      <c r="A342" s="22" t="s">
        <v>84</v>
      </c>
      <c r="B342" s="41" t="str">
        <f t="shared" si="30"/>
        <v/>
      </c>
      <c r="C342" s="42">
        <f t="shared" si="32"/>
        <v>341</v>
      </c>
      <c r="D342" s="38"/>
      <c r="E342" s="38"/>
      <c r="F342" s="38" t="s">
        <v>9</v>
      </c>
      <c r="G342" s="38"/>
      <c r="H342" s="38"/>
      <c r="I342" s="38" t="s">
        <v>9</v>
      </c>
      <c r="J342" s="38"/>
      <c r="K342" s="14" t="s">
        <v>47</v>
      </c>
      <c r="L342" s="14" t="s">
        <v>27</v>
      </c>
      <c r="M342" s="20" t="s">
        <v>882</v>
      </c>
      <c r="N342" s="14" t="s">
        <v>883</v>
      </c>
      <c r="O342" s="43">
        <v>1</v>
      </c>
      <c r="R342" s="38" t="s">
        <v>104</v>
      </c>
      <c r="S342" s="38"/>
      <c r="T342" s="38"/>
      <c r="W342" s="15" t="str">
        <f>IF(IFERROR(VLOOKUP($M342,#REF!,1,0),"-")="-","","GS")</f>
        <v/>
      </c>
      <c r="Z342" s="59" t="str">
        <f>IF(OR($M342="",NOT($O342="{array}")),"",IFERROR(MATCH(PARAMETERS!$M342,DEFAULT!$B$5:$CI$5,0),""))</f>
        <v/>
      </c>
      <c r="AA342" s="56" t="str">
        <f t="shared" si="31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IF($AA342="","",IF($B342="I",VLOOKUP($AA342,#REF!,53,0),INDEX(VALUES!$B$1:$BQ$1,1,$AA342)))</f>
        <v/>
      </c>
    </row>
    <row r="343" spans="1:29" hidden="1" outlineLevel="1" x14ac:dyDescent="0.3">
      <c r="A343" s="22" t="s">
        <v>84</v>
      </c>
      <c r="B343" s="41" t="str">
        <f t="shared" si="30"/>
        <v/>
      </c>
      <c r="C343" s="42">
        <f t="shared" si="32"/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51</v>
      </c>
      <c r="L343" s="14" t="s">
        <v>27</v>
      </c>
      <c r="M343" s="151" t="s">
        <v>884</v>
      </c>
      <c r="N343" s="14" t="s">
        <v>885</v>
      </c>
      <c r="O343" s="43">
        <v>1</v>
      </c>
      <c r="R343" s="38" t="s">
        <v>104</v>
      </c>
      <c r="S343" s="38"/>
      <c r="T343" s="38"/>
      <c r="W343" s="15" t="str">
        <f>IF(IFERROR(VLOOKUP($M343,#REF!,1,0),"-")="-","","GS")</f>
        <v/>
      </c>
      <c r="Z343" s="59" t="str">
        <f>IF(OR($M343="",NOT($O343="{array}")),"",IFERROR(MATCH(PARAMETERS!$M343,DEFAULT!$B$5:$CI$5,0),""))</f>
        <v/>
      </c>
      <c r="AA343" s="56" t="str">
        <f t="shared" si="31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IF($AA343="","",IF($B343="I",VLOOKUP($AA343,#REF!,53,0),INDEX(VALUES!$B$1:$BQ$1,1,$AA343)))</f>
        <v/>
      </c>
    </row>
    <row r="344" spans="1:29" hidden="1" outlineLevel="1" x14ac:dyDescent="0.3">
      <c r="A344" s="22" t="s">
        <v>84</v>
      </c>
      <c r="B344" s="41" t="str">
        <f t="shared" si="30"/>
        <v/>
      </c>
      <c r="C344" s="42">
        <f t="shared" si="32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51</v>
      </c>
      <c r="L344" s="14" t="s">
        <v>27</v>
      </c>
      <c r="M344" s="151" t="s">
        <v>886</v>
      </c>
      <c r="N344" s="14" t="s">
        <v>887</v>
      </c>
      <c r="O344" s="43">
        <v>4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IF(OR($M344="",NOT($O344="{array}")),"",IFERROR(MATCH(PARAMETERS!$M344,DEFAULT!$B$5:$CI$5,0),""))</f>
        <v/>
      </c>
      <c r="AA344" s="56" t="str">
        <f t="shared" si="31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IF($AA344="","",IF($B344="I",VLOOKUP($AA344,#REF!,53,0),INDEX(VALUES!$B$1:$BQ$1,1,$AA344)))</f>
        <v/>
      </c>
    </row>
    <row r="345" spans="1:29" hidden="1" outlineLevel="1" x14ac:dyDescent="0.3">
      <c r="A345" s="22" t="s">
        <v>84</v>
      </c>
      <c r="B345" s="41" t="str">
        <f t="shared" si="30"/>
        <v/>
      </c>
      <c r="C345" s="42">
        <f t="shared" si="32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18</v>
      </c>
      <c r="L345" s="14" t="s">
        <v>27</v>
      </c>
      <c r="M345" s="20" t="s">
        <v>888</v>
      </c>
      <c r="N345" s="14" t="s">
        <v>889</v>
      </c>
      <c r="O345" s="43" t="s">
        <v>890</v>
      </c>
      <c r="R345" s="38" t="s">
        <v>104</v>
      </c>
      <c r="S345" s="38"/>
      <c r="T345" s="38"/>
      <c r="W345" s="15" t="str">
        <f>IF(IFERROR(VLOOKUP($M345,#REF!,1,0),"-")="-","","GS")</f>
        <v/>
      </c>
      <c r="Z345" s="59" t="str">
        <f>IF(OR($M345="",NOT($O345="{array}")),"",IFERROR(MATCH(PARAMETERS!$M345,DEFAULT!$B$5:$CI$5,0),""))</f>
        <v/>
      </c>
      <c r="AA345" s="56" t="str">
        <f t="shared" si="31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IF($AA345="","",IF($B345="I",VLOOKUP($AA345,#REF!,53,0),INDEX(VALUES!$B$1:$BQ$1,1,$AA345)))</f>
        <v/>
      </c>
    </row>
    <row r="346" spans="1:29" hidden="1" outlineLevel="1" x14ac:dyDescent="0.3">
      <c r="A346" s="22" t="s">
        <v>84</v>
      </c>
      <c r="B346" s="41" t="str">
        <f t="shared" si="30"/>
        <v/>
      </c>
      <c r="C346" s="42">
        <f t="shared" si="32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44</v>
      </c>
      <c r="L346" s="14" t="s">
        <v>27</v>
      </c>
      <c r="M346" s="20" t="s">
        <v>891</v>
      </c>
      <c r="N346" s="14" t="s">
        <v>889</v>
      </c>
      <c r="O346" s="43">
        <v>1</v>
      </c>
      <c r="R346" s="38" t="s">
        <v>104</v>
      </c>
      <c r="S346" s="38"/>
      <c r="T346" s="38"/>
      <c r="W346" s="15" t="str">
        <f>IF(IFERROR(VLOOKUP($M346,#REF!,1,0),"-")="-","","GS")</f>
        <v/>
      </c>
      <c r="Z346" s="59" t="str">
        <f>IF(OR($M346="",NOT($O346="{array}")),"",IFERROR(MATCH(PARAMETERS!$M346,DEFAULT!$B$5:$CI$5,0),""))</f>
        <v/>
      </c>
      <c r="AA346" s="56" t="str">
        <f t="shared" si="31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IF($AA346="","",IF($B346="I",VLOOKUP($AA346,#REF!,53,0),INDEX(VALUES!$B$1:$BQ$1,1,$AA346)))</f>
        <v/>
      </c>
    </row>
    <row r="347" spans="1:29" hidden="1" outlineLevel="1" x14ac:dyDescent="0.3">
      <c r="A347" s="22" t="s">
        <v>84</v>
      </c>
      <c r="B347" s="41" t="str">
        <f t="shared" si="30"/>
        <v/>
      </c>
      <c r="C347" s="42">
        <f t="shared" si="32"/>
        <v>346</v>
      </c>
      <c r="D347" s="38"/>
      <c r="E347" s="38"/>
      <c r="F347" s="38" t="s">
        <v>9</v>
      </c>
      <c r="G347" s="38"/>
      <c r="H347" s="38"/>
      <c r="I347" s="38" t="s">
        <v>9</v>
      </c>
      <c r="J347" s="38"/>
      <c r="K347" s="14" t="s">
        <v>18</v>
      </c>
      <c r="L347" s="14" t="s">
        <v>27</v>
      </c>
      <c r="M347" s="20" t="s">
        <v>892</v>
      </c>
      <c r="N347" s="14" t="s">
        <v>889</v>
      </c>
      <c r="O347" s="43" t="s">
        <v>893</v>
      </c>
      <c r="R347" s="38" t="s">
        <v>104</v>
      </c>
      <c r="S347" s="38"/>
      <c r="T347" s="38"/>
      <c r="W347" s="15" t="str">
        <f>IF(IFERROR(VLOOKUP($M347,#REF!,1,0),"-")="-","","GS")</f>
        <v/>
      </c>
      <c r="Z347" s="59" t="str">
        <f>IF(OR($M347="",NOT($O347="{array}")),"",IFERROR(MATCH(PARAMETERS!$M347,DEFAULT!$B$5:$CI$5,0),""))</f>
        <v/>
      </c>
      <c r="AA347" s="56" t="str">
        <f t="shared" si="31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IF($AA347="","",IF($B347="I",VLOOKUP($AA347,#REF!,53,0),INDEX(VALUES!$B$1:$BQ$1,1,$AA347)))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32"/>
        <v>347</v>
      </c>
      <c r="D348" s="38"/>
      <c r="E348" s="38"/>
      <c r="F348" s="38" t="s">
        <v>9</v>
      </c>
      <c r="G348" s="38" t="s">
        <v>9</v>
      </c>
      <c r="H348" s="38"/>
      <c r="I348" s="38" t="s">
        <v>9</v>
      </c>
      <c r="J348" s="38"/>
      <c r="K348" s="14" t="s">
        <v>44</v>
      </c>
      <c r="L348" s="14" t="s">
        <v>27</v>
      </c>
      <c r="M348" s="20" t="s">
        <v>894</v>
      </c>
      <c r="N348" s="14" t="s">
        <v>889</v>
      </c>
      <c r="O348" s="43">
        <v>0</v>
      </c>
      <c r="R348" s="38" t="s">
        <v>104</v>
      </c>
      <c r="S348" s="38"/>
      <c r="T348" s="38"/>
      <c r="W348" s="15" t="str">
        <f>IF(IFERROR(VLOOKUP($M348,#REF!,1,0),"-")="-","","GS")</f>
        <v/>
      </c>
      <c r="Z348" s="59" t="str">
        <f>IF(OR($M348="",NOT($O348="{array}")),"",IFERROR(MATCH(PARAMETERS!$M348,DEFAULT!$B$5:$CI$5,0),""))</f>
        <v/>
      </c>
      <c r="AA348" s="56" t="str">
        <f t="shared" si="31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IF($AA348="","",IF($B348="I",VLOOKUP($AA348,#REF!,53,0),INDEX(VALUES!$B$1:$BQ$1,1,$AA348)))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32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53" t="s">
        <v>44</v>
      </c>
      <c r="L349" s="53" t="s">
        <v>27</v>
      </c>
      <c r="M349" s="157" t="s">
        <v>1161</v>
      </c>
      <c r="N349" s="53" t="s">
        <v>1158</v>
      </c>
      <c r="O349" s="155">
        <v>1</v>
      </c>
      <c r="P349" s="53"/>
      <c r="Q349" s="208"/>
      <c r="R349" s="208" t="s">
        <v>195</v>
      </c>
      <c r="S349" s="38"/>
      <c r="T349" s="38"/>
      <c r="W349" s="15"/>
      <c r="Z349" s="59" t="str">
        <f>IF(OR($M349="",NOT($O349="{array}")),"",IFERROR(MATCH(PARAMETERS!$M349,DEFAULT!$B$5:$CI$5,0),""))</f>
        <v/>
      </c>
      <c r="AA349" s="56" t="str">
        <f t="shared" si="31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IF($AA349="","",IF($B349="I",VLOOKUP($AA349,#REF!,53,0),INDEX(VALUES!$B$1:$BQ$1,1,$AA349)))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32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53" t="s">
        <v>44</v>
      </c>
      <c r="L350" s="53" t="s">
        <v>27</v>
      </c>
      <c r="M350" s="157" t="s">
        <v>1162</v>
      </c>
      <c r="N350" s="53" t="s">
        <v>1159</v>
      </c>
      <c r="O350" s="155">
        <v>1</v>
      </c>
      <c r="P350" s="53"/>
      <c r="Q350" s="208"/>
      <c r="R350" s="208" t="s">
        <v>195</v>
      </c>
      <c r="S350" s="38"/>
      <c r="T350" s="38"/>
      <c r="W350" s="15"/>
      <c r="Z350" s="59" t="str">
        <f>IF(OR($M350="",NOT($O350="{array}")),"",IFERROR(MATCH(PARAMETERS!$M350,DEFAULT!$B$5:$CI$5,0),""))</f>
        <v/>
      </c>
      <c r="AA350" s="56" t="str">
        <f t="shared" si="31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IF($AA350="","",IF($B350="I",VLOOKUP($AA350,#REF!,53,0),INDEX(VALUES!$B$1:$BQ$1,1,$AA350)))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32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53" t="s">
        <v>44</v>
      </c>
      <c r="L351" s="53" t="s">
        <v>27</v>
      </c>
      <c r="M351" s="157" t="s">
        <v>1163</v>
      </c>
      <c r="N351" s="53" t="s">
        <v>1160</v>
      </c>
      <c r="O351" s="155">
        <v>1</v>
      </c>
      <c r="P351" s="53"/>
      <c r="Q351" s="208"/>
      <c r="R351" s="208" t="s">
        <v>195</v>
      </c>
      <c r="S351" s="38"/>
      <c r="T351" s="38"/>
      <c r="W351" s="15"/>
      <c r="Z351" s="59" t="str">
        <f>IF(OR($M351="",NOT($O351="{array}")),"",IFERROR(MATCH(PARAMETERS!$M351,DEFAULT!$B$5:$CI$5,0),""))</f>
        <v/>
      </c>
      <c r="AA351" s="56" t="str">
        <f t="shared" si="31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IF($AA351="","",IF($B351="I",VLOOKUP($AA351,#REF!,53,0),INDEX(VALUES!$B$1:$BQ$1,1,$AA351)))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32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53</v>
      </c>
      <c r="L352" s="14" t="s">
        <v>27</v>
      </c>
      <c r="M352" s="218" t="s">
        <v>895</v>
      </c>
      <c r="N352" s="14" t="s">
        <v>896</v>
      </c>
      <c r="O352" s="43">
        <v>1</v>
      </c>
      <c r="R352" s="38" t="s">
        <v>104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IF(OR($M352="",NOT($O352="{array}")),"",IFERROR(MATCH(PARAMETERS!$M352,DEFAULT!$B$5:$CI$5,0),""))</f>
        <v/>
      </c>
      <c r="AA352" s="56" t="str">
        <f t="shared" si="31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IF($AA352="","",IF($B352="I",VLOOKUP($AA352,#REF!,53,0),INDEX(VALUES!$B$1:$BQ$1,1,$AA352)))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32"/>
        <v>352</v>
      </c>
      <c r="D353" s="38"/>
      <c r="E353" s="38"/>
      <c r="F353" s="38" t="s">
        <v>9</v>
      </c>
      <c r="G353" s="38" t="s">
        <v>9</v>
      </c>
      <c r="H353" s="38"/>
      <c r="I353" s="38" t="s">
        <v>9</v>
      </c>
      <c r="J353" s="38"/>
      <c r="K353" s="14" t="s">
        <v>44</v>
      </c>
      <c r="L353" s="14" t="s">
        <v>27</v>
      </c>
      <c r="M353" s="218" t="s">
        <v>897</v>
      </c>
      <c r="N353" s="14" t="s">
        <v>896</v>
      </c>
      <c r="O353" s="43">
        <v>1</v>
      </c>
      <c r="R353" s="38" t="s">
        <v>104</v>
      </c>
      <c r="S353" s="38"/>
      <c r="T353" s="38"/>
      <c r="W353" s="15" t="str">
        <f>IF(IFERROR(VLOOKUP($M353,#REF!,1,0),"-")="-","","GS")</f>
        <v/>
      </c>
      <c r="Z353" s="59" t="str">
        <f>IF(OR($M353="",NOT($O353="{array}")),"",IFERROR(MATCH(PARAMETERS!$M353,DEFAULT!$B$5:$CI$5,0),""))</f>
        <v/>
      </c>
      <c r="AA353" s="56" t="str">
        <f t="shared" si="31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IF($AA353="","",IF($B353="I",VLOOKUP($AA353,#REF!,53,0),INDEX(VALUES!$B$1:$BQ$1,1,$AA353)))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32"/>
        <v>353</v>
      </c>
      <c r="D354" s="38"/>
      <c r="E354" s="38"/>
      <c r="F354" s="38" t="s">
        <v>9</v>
      </c>
      <c r="G354" s="38"/>
      <c r="H354" s="38" t="s">
        <v>9</v>
      </c>
      <c r="I354" s="38" t="s">
        <v>9</v>
      </c>
      <c r="J354" s="38"/>
      <c r="K354" s="14" t="s">
        <v>47</v>
      </c>
      <c r="L354" s="14" t="s">
        <v>27</v>
      </c>
      <c r="M354" s="20" t="s">
        <v>898</v>
      </c>
      <c r="N354" s="14" t="s">
        <v>899</v>
      </c>
      <c r="O354" s="43">
        <v>1</v>
      </c>
      <c r="R354" s="38" t="s">
        <v>104</v>
      </c>
      <c r="S354" s="38"/>
      <c r="T354" s="38"/>
      <c r="W354" s="15" t="str">
        <f>IF(IFERROR(VLOOKUP($M354,#REF!,1,0),"-")="-","","GS")</f>
        <v/>
      </c>
      <c r="Z354" s="59" t="str">
        <f>IF(OR($M354="",NOT($O354="{array}")),"",IFERROR(MATCH(PARAMETERS!$M354,DEFAULT!$B$5:$CI$5,0),""))</f>
        <v/>
      </c>
      <c r="AA354" s="56" t="str">
        <f t="shared" si="31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IF($AA354="","",IF($B354="I",VLOOKUP($AA354,#REF!,53,0),INDEX(VALUES!$B$1:$BQ$1,1,$AA354)))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32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47</v>
      </c>
      <c r="L355" s="14" t="s">
        <v>27</v>
      </c>
      <c r="M355" s="20" t="s">
        <v>900</v>
      </c>
      <c r="N355" s="14" t="s">
        <v>901</v>
      </c>
      <c r="O355" s="43">
        <v>1</v>
      </c>
      <c r="R355" s="38" t="s">
        <v>104</v>
      </c>
      <c r="S355" s="38"/>
      <c r="T355" s="38"/>
      <c r="W355" s="15" t="str">
        <f>IF(IFERROR(VLOOKUP($M355,#REF!,1,0),"-")="-","","GS")</f>
        <v/>
      </c>
      <c r="Z355" s="59" t="str">
        <f>IF(OR($M355="",NOT($O355="{array}")),"",IFERROR(MATCH(PARAMETERS!$M355,DEFAULT!$B$5:$CI$5,0),""))</f>
        <v/>
      </c>
      <c r="AA355" s="56" t="str">
        <f t="shared" si="31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IF($AA355="","",IF($B355="I",VLOOKUP($AA355,#REF!,53,0),INDEX(VALUES!$B$1:$BQ$1,1,$AA355)))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32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18</v>
      </c>
      <c r="L356" s="14" t="s">
        <v>27</v>
      </c>
      <c r="M356" s="20" t="s">
        <v>902</v>
      </c>
      <c r="N356" s="14" t="s">
        <v>903</v>
      </c>
      <c r="O356" s="43" t="s">
        <v>904</v>
      </c>
      <c r="R356" s="38" t="s">
        <v>104</v>
      </c>
      <c r="S356" s="38"/>
      <c r="T356" s="38"/>
      <c r="W356" s="15" t="str">
        <f>IF(IFERROR(VLOOKUP($M356,#REF!,1,0),"-")="-","","GS")</f>
        <v/>
      </c>
      <c r="Z356" s="59" t="str">
        <f>IF(OR($M356="",NOT($O356="{array}")),"",IFERROR(MATCH(PARAMETERS!$M356,DEFAULT!$B$5:$CI$5,0),""))</f>
        <v/>
      </c>
      <c r="AA356" s="56" t="str">
        <f t="shared" si="31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IF($AA356="","",IF($B356="I",VLOOKUP($AA356,#REF!,53,0),INDEX(VALUES!$B$1:$BQ$1,1,$AA356)))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32"/>
        <v>356</v>
      </c>
      <c r="D357" s="38"/>
      <c r="E357" s="38"/>
      <c r="F357" s="38" t="s">
        <v>9</v>
      </c>
      <c r="G357" s="38" t="s">
        <v>9</v>
      </c>
      <c r="H357" s="38"/>
      <c r="I357" s="38" t="s">
        <v>9</v>
      </c>
      <c r="J357" s="38"/>
      <c r="K357" s="14" t="s">
        <v>44</v>
      </c>
      <c r="L357" s="14" t="s">
        <v>27</v>
      </c>
      <c r="M357" s="218" t="s">
        <v>905</v>
      </c>
      <c r="N357" s="14" t="s">
        <v>903</v>
      </c>
      <c r="O357" s="43">
        <v>0</v>
      </c>
      <c r="R357" s="38" t="s">
        <v>104</v>
      </c>
      <c r="S357" s="38"/>
      <c r="T357" s="38"/>
      <c r="W357" s="15" t="str">
        <f>IF(IFERROR(VLOOKUP($M357,#REF!,1,0),"-")="-","","GS")</f>
        <v/>
      </c>
      <c r="Z357" s="59" t="str">
        <f>IF(OR($M357="",NOT($O357="{array}")),"",IFERROR(MATCH(PARAMETERS!$M357,DEFAULT!$B$5:$CI$5,0),""))</f>
        <v/>
      </c>
      <c r="AA357" s="56" t="str">
        <f t="shared" si="31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IF($AA357="","",IF($B357="I",VLOOKUP($AA357,#REF!,53,0),INDEX(VALUES!$B$1:$BQ$1,1,$AA357)))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32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18</v>
      </c>
      <c r="L358" s="14" t="s">
        <v>27</v>
      </c>
      <c r="M358" s="20" t="s">
        <v>906</v>
      </c>
      <c r="N358" s="14" t="s">
        <v>907</v>
      </c>
      <c r="O358" s="43" t="s">
        <v>908</v>
      </c>
      <c r="R358" s="38" t="s">
        <v>104</v>
      </c>
      <c r="S358" s="38"/>
      <c r="T358" s="38"/>
      <c r="W358" s="15" t="str">
        <f>IF(IFERROR(VLOOKUP($M358,#REF!,1,0),"-")="-","","GS")</f>
        <v/>
      </c>
      <c r="Z358" s="59" t="str">
        <f>IF(OR($M358="",NOT($O358="{array}")),"",IFERROR(MATCH(PARAMETERS!$M358,DEFAULT!$B$5:$CI$5,0),""))</f>
        <v/>
      </c>
      <c r="AA358" s="56" t="str">
        <f t="shared" si="31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IF($AA358="","",IF($B358="I",VLOOKUP($AA358,#REF!,53,0),INDEX(VALUES!$B$1:$BQ$1,1,$AA358)))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32"/>
        <v>358</v>
      </c>
      <c r="D359" s="38"/>
      <c r="E359" s="38"/>
      <c r="F359" s="38" t="s">
        <v>9</v>
      </c>
      <c r="G359" s="38" t="s">
        <v>9</v>
      </c>
      <c r="H359" s="38"/>
      <c r="I359" s="38" t="s">
        <v>9</v>
      </c>
      <c r="J359" s="38"/>
      <c r="K359" s="14" t="s">
        <v>44</v>
      </c>
      <c r="L359" s="14" t="s">
        <v>27</v>
      </c>
      <c r="M359" s="218" t="s">
        <v>909</v>
      </c>
      <c r="N359" s="14" t="s">
        <v>907</v>
      </c>
      <c r="O359" s="43">
        <v>1</v>
      </c>
      <c r="R359" s="38" t="s">
        <v>104</v>
      </c>
      <c r="S359" s="38"/>
      <c r="T359" s="38"/>
      <c r="W359" s="15" t="str">
        <f>IF(IFERROR(VLOOKUP($M359,#REF!,1,0),"-")="-","","GS")</f>
        <v/>
      </c>
      <c r="Z359" s="59" t="str">
        <f>IF(OR($M359="",NOT($O359="{array}")),"",IFERROR(MATCH(PARAMETERS!$M359,DEFAULT!$B$5:$CI$5,0),""))</f>
        <v/>
      </c>
      <c r="AA359" s="56" t="str">
        <f t="shared" ref="AA359:AA390" si="33">IF($M359="","",IFERROR(MATCH($M359,VALUESnames,0),""))</f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IF($AA359="","",IF($B359="I",VLOOKUP($AA359,#REF!,53,0),INDEX(VALUES!$B$1:$BQ$1,1,$AA359)))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ref="C360:C391" si="34">(ROW()-1)</f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18</v>
      </c>
      <c r="L360" s="14" t="s">
        <v>27</v>
      </c>
      <c r="M360" s="20" t="s">
        <v>910</v>
      </c>
      <c r="N360" s="14" t="s">
        <v>911</v>
      </c>
      <c r="O360" s="43" t="s">
        <v>908</v>
      </c>
      <c r="R360" s="38" t="s">
        <v>104</v>
      </c>
      <c r="S360" s="38"/>
      <c r="T360" s="38"/>
      <c r="W360" s="15" t="str">
        <f>IF(IFERROR(VLOOKUP($M360,#REF!,1,0),"-")="-","","GS")</f>
        <v/>
      </c>
      <c r="Z360" s="59" t="str">
        <f>IF(OR($M360="",NOT($O360="{array}")),"",IFERROR(MATCH(PARAMETERS!$M360,DEFAULT!$B$5:$CI$5,0),""))</f>
        <v/>
      </c>
      <c r="AA360" s="56" t="str">
        <f t="shared" si="33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IF($AA360="","",IF($B360="I",VLOOKUP($AA360,#REF!,53,0),INDEX(VALUES!$B$1:$BQ$1,1,$AA360)))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4"/>
        <v>360</v>
      </c>
      <c r="D361" s="38"/>
      <c r="E361" s="38"/>
      <c r="F361" s="38" t="s">
        <v>9</v>
      </c>
      <c r="G361" s="38" t="s">
        <v>9</v>
      </c>
      <c r="H361" s="38"/>
      <c r="I361" s="38" t="s">
        <v>9</v>
      </c>
      <c r="J361" s="38"/>
      <c r="K361" s="14" t="s">
        <v>44</v>
      </c>
      <c r="L361" s="14" t="s">
        <v>27</v>
      </c>
      <c r="M361" s="218" t="s">
        <v>912</v>
      </c>
      <c r="N361" s="14" t="s">
        <v>913</v>
      </c>
      <c r="O361" s="43">
        <v>1</v>
      </c>
      <c r="R361" s="38" t="s">
        <v>104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IF(OR($M361="",NOT($O361="{array}")),"",IFERROR(MATCH(PARAMETERS!$M361,DEFAULT!$B$5:$CI$5,0),""))</f>
        <v/>
      </c>
      <c r="AA361" s="56" t="str">
        <f t="shared" si="33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IF($AA361="","",IF($B361="I",VLOOKUP($AA361,#REF!,53,0),INDEX(VALUES!$B$1:$BQ$1,1,$AA361)))</f>
        <v/>
      </c>
    </row>
    <row r="362" spans="1:29" hidden="1" outlineLevel="1" x14ac:dyDescent="0.3">
      <c r="A362" s="22" t="s">
        <v>84</v>
      </c>
      <c r="B362" s="41" t="str">
        <f t="shared" si="30"/>
        <v/>
      </c>
      <c r="C362" s="42">
        <f t="shared" si="34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18</v>
      </c>
      <c r="L362" s="14" t="s">
        <v>27</v>
      </c>
      <c r="M362" s="20" t="s">
        <v>914</v>
      </c>
      <c r="N362" s="14" t="s">
        <v>915</v>
      </c>
      <c r="O362" s="43" t="s">
        <v>656</v>
      </c>
      <c r="R362" s="38" t="s">
        <v>104</v>
      </c>
      <c r="S362" s="38"/>
      <c r="T362" s="38"/>
      <c r="W362" s="15" t="str">
        <f>IF(IFERROR(VLOOKUP($M362,#REF!,1,0),"-")="-","","GS")</f>
        <v/>
      </c>
      <c r="Z362" s="59" t="str">
        <f>IF(OR($M362="",NOT($O362="{array}")),"",IFERROR(MATCH(PARAMETERS!$M362,DEFAULT!$B$5:$CI$5,0),""))</f>
        <v/>
      </c>
      <c r="AA362" s="56" t="str">
        <f t="shared" si="33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IF($AA362="","",IF($B362="I",VLOOKUP($AA362,#REF!,53,0),INDEX(VALUES!$B$1:$BQ$1,1,$AA362)))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4"/>
        <v>362</v>
      </c>
      <c r="D363" s="38"/>
      <c r="E363" s="38"/>
      <c r="F363" s="38" t="s">
        <v>9</v>
      </c>
      <c r="G363" s="38" t="s">
        <v>9</v>
      </c>
      <c r="H363" s="38"/>
      <c r="I363" s="38" t="s">
        <v>9</v>
      </c>
      <c r="J363" s="38"/>
      <c r="K363" s="14" t="s">
        <v>44</v>
      </c>
      <c r="L363" s="14" t="s">
        <v>27</v>
      </c>
      <c r="M363" s="20" t="s">
        <v>916</v>
      </c>
      <c r="N363" s="14" t="s">
        <v>915</v>
      </c>
      <c r="O363" s="43">
        <v>1</v>
      </c>
      <c r="R363" s="38" t="s">
        <v>104</v>
      </c>
      <c r="S363" s="38"/>
      <c r="T363" s="38"/>
      <c r="W363" s="15" t="str">
        <f>IF(IFERROR(VLOOKUP($M363,#REF!,1,0),"-")="-","","GS")</f>
        <v/>
      </c>
      <c r="Z363" s="59" t="str">
        <f>IF(OR($M363="",NOT($O363="{array}")),"",IFERROR(MATCH(PARAMETERS!$M363,DEFAULT!$B$5:$CI$5,0),""))</f>
        <v/>
      </c>
      <c r="AA363" s="56" t="str">
        <f t="shared" si="33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IF($AA363="","",IF($B363="I",VLOOKUP($AA363,#REF!,53,0),INDEX(VALUES!$B$1:$BQ$1,1,$AA363)))</f>
        <v/>
      </c>
    </row>
    <row r="364" spans="1:29" collapsed="1" x14ac:dyDescent="0.3">
      <c r="A364" s="22" t="s">
        <v>84</v>
      </c>
      <c r="B364" s="41" t="str">
        <f t="shared" si="30"/>
        <v/>
      </c>
      <c r="C364" s="42">
        <f t="shared" si="34"/>
        <v>363</v>
      </c>
      <c r="D364" s="38"/>
      <c r="E364" s="38"/>
      <c r="F364" s="38" t="s">
        <v>9</v>
      </c>
      <c r="G364" s="38"/>
      <c r="H364" s="38"/>
      <c r="I364" s="38"/>
      <c r="J364" s="38"/>
      <c r="K364" s="14" t="s">
        <v>57</v>
      </c>
      <c r="L364" s="14" t="s">
        <v>38</v>
      </c>
      <c r="M364" s="48" t="s">
        <v>917</v>
      </c>
      <c r="N364" s="41" t="s">
        <v>918</v>
      </c>
      <c r="R364" s="38" t="s">
        <v>104</v>
      </c>
      <c r="S364" s="38"/>
      <c r="T364" s="38"/>
      <c r="W364" s="15" t="str">
        <f>IF(IFERROR(VLOOKUP($M364,#REF!,1,0),"-")="-","","GS")</f>
        <v/>
      </c>
      <c r="Z364" s="59" t="str">
        <f>IF(OR($M364="",NOT($O364="{array}")),"",IFERROR(MATCH(PARAMETERS!$M364,DEFAULT!$B$5:$CI$5,0),""))</f>
        <v/>
      </c>
      <c r="AA364" s="56" t="str">
        <f t="shared" si="33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IF($AA364="","",IF($B364="I",VLOOKUP($AA364,#REF!,53,0),INDEX(VALUES!$B$1:$BQ$1,1,$AA364)))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4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919</v>
      </c>
      <c r="N365" s="14" t="s">
        <v>920</v>
      </c>
      <c r="O365" s="43">
        <v>1</v>
      </c>
      <c r="R365" s="38" t="s">
        <v>104</v>
      </c>
      <c r="S365" s="38"/>
      <c r="T365" s="38"/>
      <c r="W365" s="15" t="str">
        <f>IF(IFERROR(VLOOKUP($M365,#REF!,1,0),"-")="-","","GS")</f>
        <v/>
      </c>
      <c r="Z365" s="59" t="str">
        <f>IF(OR($M365="",NOT($O365="{array}")),"",IFERROR(MATCH(PARAMETERS!$M365,DEFAULT!$B$5:$CI$5,0),""))</f>
        <v/>
      </c>
      <c r="AA365" s="56" t="str">
        <f t="shared" si="33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IF($AA365="","",IF($B365="I",VLOOKUP($AA365,#REF!,53,0),INDEX(VALUES!$B$1:$BQ$1,1,$AA365)))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4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44</v>
      </c>
      <c r="L366" s="14" t="s">
        <v>27</v>
      </c>
      <c r="M366" s="20" t="s">
        <v>921</v>
      </c>
      <c r="N366" s="14" t="s">
        <v>922</v>
      </c>
      <c r="O366" s="43">
        <v>2</v>
      </c>
      <c r="R366" s="38" t="s">
        <v>104</v>
      </c>
      <c r="S366" s="38"/>
      <c r="T366" s="38"/>
      <c r="W366" s="15" t="str">
        <f>IF(IFERROR(VLOOKUP($M366,#REF!,1,0),"-")="-","","GS")</f>
        <v/>
      </c>
      <c r="Z366" s="59" t="str">
        <f>IF(OR($M366="",NOT($O366="{array}")),"",IFERROR(MATCH(PARAMETERS!$M366,DEFAULT!$B$5:$CI$5,0),""))</f>
        <v/>
      </c>
      <c r="AA366" s="56" t="str">
        <f t="shared" si="33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IF($AA366="","",IF($B366="I",VLOOKUP($AA366,#REF!,53,0),INDEX(VALUES!$B$1:$BQ$1,1,$AA366)))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4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44</v>
      </c>
      <c r="L367" s="14" t="s">
        <v>27</v>
      </c>
      <c r="M367" s="20" t="s">
        <v>923</v>
      </c>
      <c r="N367" s="14" t="s">
        <v>924</v>
      </c>
      <c r="O367" s="43">
        <v>1</v>
      </c>
      <c r="R367" s="38" t="s">
        <v>104</v>
      </c>
      <c r="S367" s="38"/>
      <c r="T367" s="38"/>
      <c r="W367" s="15" t="str">
        <f>IF(IFERROR(VLOOKUP($M367,#REF!,1,0),"-")="-","","GS")</f>
        <v/>
      </c>
      <c r="Z367" s="59" t="str">
        <f>IF(OR($M367="",NOT($O367="{array}")),"",IFERROR(MATCH(PARAMETERS!$M367,DEFAULT!$B$5:$CI$5,0),""))</f>
        <v/>
      </c>
      <c r="AA367" s="56" t="str">
        <f t="shared" si="33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IF($AA367="","",IF($B367="I",VLOOKUP($AA367,#REF!,53,0),INDEX(VALUES!$B$1:$BQ$1,1,$AA367)))</f>
        <v/>
      </c>
    </row>
    <row r="368" spans="1:29" hidden="1" outlineLevel="1" x14ac:dyDescent="0.3">
      <c r="A368" s="22" t="s">
        <v>84</v>
      </c>
      <c r="B368" s="41" t="str">
        <f t="shared" si="30"/>
        <v/>
      </c>
      <c r="C368" s="42">
        <f t="shared" si="34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44</v>
      </c>
      <c r="L368" s="14" t="s">
        <v>27</v>
      </c>
      <c r="M368" s="20" t="s">
        <v>925</v>
      </c>
      <c r="N368" s="14" t="s">
        <v>926</v>
      </c>
      <c r="O368" s="43">
        <v>1</v>
      </c>
      <c r="R368" s="38" t="s">
        <v>104</v>
      </c>
      <c r="S368" s="38"/>
      <c r="T368" s="38"/>
      <c r="W368" s="15" t="str">
        <f>IF(IFERROR(VLOOKUP($M368,#REF!,1,0),"-")="-","","GS")</f>
        <v/>
      </c>
      <c r="Z368" s="59" t="str">
        <f>IF(OR($M368="",NOT($O368="{array}")),"",IFERROR(MATCH(PARAMETERS!$M368,DEFAULT!$B$5:$CI$5,0),""))</f>
        <v/>
      </c>
      <c r="AA368" s="56" t="str">
        <f t="shared" si="33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IF($AA368="","",IF($B368="I",VLOOKUP($AA368,#REF!,53,0),INDEX(VALUES!$B$1:$BQ$1,1,$AA368)))</f>
        <v/>
      </c>
    </row>
    <row r="369" spans="1:29" hidden="1" outlineLevel="1" x14ac:dyDescent="0.3">
      <c r="A369" s="22" t="s">
        <v>84</v>
      </c>
      <c r="B369" s="41" t="str">
        <f t="shared" si="30"/>
        <v/>
      </c>
      <c r="C369" s="42">
        <f t="shared" si="34"/>
        <v>368</v>
      </c>
      <c r="D369" s="38"/>
      <c r="E369" s="38"/>
      <c r="F369" s="38" t="s">
        <v>9</v>
      </c>
      <c r="G369" s="38"/>
      <c r="H369" s="38" t="s">
        <v>9</v>
      </c>
      <c r="I369" s="38"/>
      <c r="J369" s="38"/>
      <c r="K369" s="14" t="s">
        <v>47</v>
      </c>
      <c r="L369" s="14" t="s">
        <v>27</v>
      </c>
      <c r="M369" s="20" t="s">
        <v>927</v>
      </c>
      <c r="N369" s="14" t="s">
        <v>928</v>
      </c>
      <c r="O369" s="43">
        <v>0</v>
      </c>
      <c r="R369" s="38" t="s">
        <v>104</v>
      </c>
      <c r="S369" s="38"/>
      <c r="T369" s="38"/>
      <c r="W369" s="15" t="str">
        <f>IF(IFERROR(VLOOKUP($M369,#REF!,1,0),"-")="-","","GS")</f>
        <v/>
      </c>
      <c r="Z369" s="59" t="str">
        <f>IF(OR($M369="",NOT($O369="{array}")),"",IFERROR(MATCH(PARAMETERS!$M369,DEFAULT!$B$5:$CI$5,0),""))</f>
        <v/>
      </c>
      <c r="AA369" s="56" t="str">
        <f t="shared" si="33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IF($AA369="","",IF($B369="I",VLOOKUP($AA369,#REF!,53,0),INDEX(VALUES!$B$1:$BQ$1,1,$AA369)))</f>
        <v/>
      </c>
    </row>
    <row r="370" spans="1:29" hidden="1" outlineLevel="1" x14ac:dyDescent="0.3">
      <c r="A370" s="22" t="s">
        <v>84</v>
      </c>
      <c r="B370" s="41" t="str">
        <f t="shared" si="30"/>
        <v/>
      </c>
      <c r="C370" s="42">
        <f t="shared" si="34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52</v>
      </c>
      <c r="L370" s="14" t="s">
        <v>27</v>
      </c>
      <c r="M370" s="20" t="s">
        <v>929</v>
      </c>
      <c r="N370" s="14" t="s">
        <v>736</v>
      </c>
      <c r="O370" s="43">
        <v>65</v>
      </c>
      <c r="R370" s="38" t="s">
        <v>104</v>
      </c>
      <c r="S370" s="38"/>
      <c r="T370" s="38"/>
      <c r="W370" s="15" t="str">
        <f>IF(IFERROR(VLOOKUP($M370,#REF!,1,0),"-")="-","","GS")</f>
        <v/>
      </c>
      <c r="Z370" s="59" t="str">
        <f>IF(OR($M370="",NOT($O370="{array}")),"",IFERROR(MATCH(PARAMETERS!$M370,DEFAULT!$B$5:$CI$5,0),""))</f>
        <v/>
      </c>
      <c r="AA370" s="56" t="str">
        <f t="shared" si="33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IF($AA370="","",IF($B370="I",VLOOKUP($AA370,#REF!,53,0),INDEX(VALUES!$B$1:$BQ$1,1,$AA370)))</f>
        <v/>
      </c>
    </row>
    <row r="371" spans="1:29" hidden="1" outlineLevel="1" x14ac:dyDescent="0.3">
      <c r="A371" s="22" t="s">
        <v>84</v>
      </c>
      <c r="B371" s="41" t="str">
        <f t="shared" si="30"/>
        <v/>
      </c>
      <c r="C371" s="42">
        <f t="shared" si="34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53</v>
      </c>
      <c r="L371" s="14" t="s">
        <v>27</v>
      </c>
      <c r="M371" s="20" t="s">
        <v>930</v>
      </c>
      <c r="N371" s="14" t="s">
        <v>737</v>
      </c>
      <c r="O371" s="43">
        <v>1</v>
      </c>
      <c r="R371" s="38" t="s">
        <v>104</v>
      </c>
      <c r="S371" s="38"/>
      <c r="T371" s="38"/>
      <c r="W371" s="15" t="str">
        <f>IF(IFERROR(VLOOKUP($M371,#REF!,1,0),"-")="-","","GS")</f>
        <v/>
      </c>
      <c r="Z371" s="59" t="str">
        <f>IF(OR($M371="",NOT($O371="{array}")),"",IFERROR(MATCH(PARAMETERS!$M371,DEFAULT!$B$5:$CI$5,0),""))</f>
        <v/>
      </c>
      <c r="AA371" s="56" t="str">
        <f t="shared" si="33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IF($AA371="","",IF($B371="I",VLOOKUP($AA371,#REF!,53,0),INDEX(VALUES!$B$1:$BQ$1,1,$AA371)))</f>
        <v/>
      </c>
    </row>
    <row r="372" spans="1:29" hidden="1" outlineLevel="1" x14ac:dyDescent="0.3">
      <c r="A372" s="22" t="s">
        <v>84</v>
      </c>
      <c r="B372" s="41" t="str">
        <f t="shared" si="30"/>
        <v/>
      </c>
      <c r="C372" s="42">
        <f t="shared" si="34"/>
        <v>371</v>
      </c>
      <c r="D372" s="38"/>
      <c r="E372" s="38"/>
      <c r="F372" s="38" t="s">
        <v>9</v>
      </c>
      <c r="G372" s="38"/>
      <c r="H372" s="38"/>
      <c r="I372" s="38" t="s">
        <v>9</v>
      </c>
      <c r="J372" s="38"/>
      <c r="K372" s="14" t="s">
        <v>53</v>
      </c>
      <c r="L372" s="14" t="s">
        <v>27</v>
      </c>
      <c r="M372" s="20" t="s">
        <v>931</v>
      </c>
      <c r="N372" s="14" t="s">
        <v>735</v>
      </c>
      <c r="O372" s="43">
        <v>91</v>
      </c>
      <c r="R372" s="38" t="s">
        <v>104</v>
      </c>
      <c r="S372" s="38"/>
      <c r="T372" s="38"/>
      <c r="W372" s="15" t="str">
        <f>IF(IFERROR(VLOOKUP($M372,#REF!,1,0),"-")="-","","GS")</f>
        <v/>
      </c>
      <c r="Z372" s="59" t="str">
        <f>IF(OR($M372="",NOT($O372="{array}")),"",IFERROR(MATCH(PARAMETERS!$M372,DEFAULT!$B$5:$CI$5,0),""))</f>
        <v/>
      </c>
      <c r="AA372" s="56" t="str">
        <f t="shared" si="33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IF($AA372="","",IF($B372="I",VLOOKUP($AA372,#REF!,53,0),INDEX(VALUES!$B$1:$BQ$1,1,$AA372)))</f>
        <v/>
      </c>
    </row>
    <row r="373" spans="1:29" hidden="1" outlineLevel="1" x14ac:dyDescent="0.3">
      <c r="A373" s="22" t="s">
        <v>84</v>
      </c>
      <c r="B373" s="41" t="str">
        <f t="shared" si="30"/>
        <v/>
      </c>
      <c r="C373" s="42">
        <f t="shared" si="34"/>
        <v>372</v>
      </c>
      <c r="D373" s="38"/>
      <c r="E373" s="38"/>
      <c r="F373" s="38" t="s">
        <v>9</v>
      </c>
      <c r="G373" s="38"/>
      <c r="H373" s="38" t="s">
        <v>9</v>
      </c>
      <c r="I373" s="38"/>
      <c r="J373" s="38"/>
      <c r="K373" s="14" t="s">
        <v>47</v>
      </c>
      <c r="L373" s="14" t="s">
        <v>27</v>
      </c>
      <c r="M373" s="20" t="s">
        <v>932</v>
      </c>
      <c r="N373" s="14" t="s">
        <v>933</v>
      </c>
      <c r="O373" s="43">
        <v>0</v>
      </c>
      <c r="R373" s="38" t="s">
        <v>104</v>
      </c>
      <c r="S373" s="38"/>
      <c r="T373" s="38"/>
      <c r="W373" s="15" t="str">
        <f>IF(IFERROR(VLOOKUP($M373,#REF!,1,0),"-")="-","","GS")</f>
        <v/>
      </c>
      <c r="Z373" s="59" t="str">
        <f>IF(OR($M373="",NOT($O373="{array}")),"",IFERROR(MATCH(PARAMETERS!$M373,DEFAULT!$B$5:$CI$5,0),""))</f>
        <v/>
      </c>
      <c r="AA373" s="56" t="str">
        <f t="shared" si="33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IF($AA373="","",IF($B373="I",VLOOKUP($AA373,#REF!,53,0),INDEX(VALUES!$B$1:$BQ$1,1,$AA373)))</f>
        <v/>
      </c>
    </row>
    <row r="374" spans="1:29" hidden="1" outlineLevel="1" x14ac:dyDescent="0.3">
      <c r="A374" s="22" t="s">
        <v>84</v>
      </c>
      <c r="B374" s="41" t="str">
        <f t="shared" si="30"/>
        <v/>
      </c>
      <c r="C374" s="42">
        <f t="shared" si="34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18</v>
      </c>
      <c r="L374" s="14" t="s">
        <v>27</v>
      </c>
      <c r="M374" s="20" t="s">
        <v>934</v>
      </c>
      <c r="N374" s="14" t="s">
        <v>935</v>
      </c>
      <c r="O374" s="43" t="s">
        <v>936</v>
      </c>
      <c r="R374" s="38" t="s">
        <v>104</v>
      </c>
      <c r="S374" s="38"/>
      <c r="T374" s="38"/>
      <c r="W374" s="15" t="str">
        <f>IF(IFERROR(VLOOKUP($M374,#REF!,1,0),"-")="-","","GS")</f>
        <v/>
      </c>
      <c r="Z374" s="59" t="str">
        <f>IF(OR($M374="",NOT($O374="{array}")),"",IFERROR(MATCH(PARAMETERS!$M374,DEFAULT!$B$5:$CI$5,0),""))</f>
        <v/>
      </c>
      <c r="AA374" s="56" t="str">
        <f t="shared" si="33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IF($AA374="","",IF($B374="I",VLOOKUP($AA374,#REF!,53,0),INDEX(VALUES!$B$1:$BQ$1,1,$AA374)))</f>
        <v/>
      </c>
    </row>
    <row r="375" spans="1:29" hidden="1" outlineLevel="1" x14ac:dyDescent="0.3">
      <c r="A375" s="22" t="s">
        <v>84</v>
      </c>
      <c r="B375" s="41" t="str">
        <f t="shared" si="30"/>
        <v/>
      </c>
      <c r="C375" s="42">
        <f t="shared" si="34"/>
        <v>374</v>
      </c>
      <c r="D375" s="38"/>
      <c r="E375" s="38"/>
      <c r="F375" s="38" t="s">
        <v>9</v>
      </c>
      <c r="G375" s="38" t="s">
        <v>9</v>
      </c>
      <c r="H375" s="38"/>
      <c r="I375" s="38" t="s">
        <v>9</v>
      </c>
      <c r="J375" s="38"/>
      <c r="K375" s="14" t="s">
        <v>44</v>
      </c>
      <c r="L375" s="14" t="s">
        <v>27</v>
      </c>
      <c r="M375" s="20" t="s">
        <v>937</v>
      </c>
      <c r="N375" s="14" t="s">
        <v>935</v>
      </c>
      <c r="O375" s="43">
        <v>3</v>
      </c>
      <c r="R375" s="38" t="s">
        <v>104</v>
      </c>
      <c r="S375" s="38"/>
      <c r="T375" s="38"/>
      <c r="W375" s="15" t="str">
        <f>IF(IFERROR(VLOOKUP($M375,#REF!,1,0),"-")="-","","GS")</f>
        <v/>
      </c>
      <c r="Z375" s="59" t="str">
        <f>IF(OR($M375="",NOT($O375="{array}")),"",IFERROR(MATCH(PARAMETERS!$M375,DEFAULT!$B$5:$CI$5,0),""))</f>
        <v/>
      </c>
      <c r="AA375" s="56" t="str">
        <f t="shared" si="33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IF($AA375="","",IF($B375="I",VLOOKUP($AA375,#REF!,53,0),INDEX(VALUES!$B$1:$BQ$1,1,$AA375)))</f>
        <v/>
      </c>
    </row>
    <row r="376" spans="1:29" hidden="1" outlineLevel="1" x14ac:dyDescent="0.3">
      <c r="A376" s="22" t="s">
        <v>84</v>
      </c>
      <c r="B376" s="41" t="str">
        <f t="shared" si="30"/>
        <v/>
      </c>
      <c r="C376" s="42">
        <f t="shared" si="34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44</v>
      </c>
      <c r="L376" s="14" t="s">
        <v>27</v>
      </c>
      <c r="M376" s="20" t="s">
        <v>938</v>
      </c>
      <c r="N376" s="14" t="s">
        <v>939</v>
      </c>
      <c r="O376" s="43">
        <v>1</v>
      </c>
      <c r="R376" s="38" t="s">
        <v>104</v>
      </c>
      <c r="S376" s="38"/>
      <c r="T376" s="38"/>
      <c r="W376" s="15" t="str">
        <f>IF(IFERROR(VLOOKUP($M376,#REF!,1,0),"-")="-","","GS")</f>
        <v/>
      </c>
      <c r="Z376" s="59" t="str">
        <f>IF(OR($M376="",NOT($O376="{array}")),"",IFERROR(MATCH(PARAMETERS!$M376,DEFAULT!$B$5:$CI$5,0),""))</f>
        <v/>
      </c>
      <c r="AA376" s="56" t="str">
        <f t="shared" si="33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IF($AA376="","",IF($B376="I",VLOOKUP($AA376,#REF!,53,0),INDEX(VALUES!$B$1:$BQ$1,1,$AA376)))</f>
        <v/>
      </c>
    </row>
    <row r="377" spans="1:29" hidden="1" outlineLevel="1" x14ac:dyDescent="0.3">
      <c r="A377" s="22" t="s">
        <v>84</v>
      </c>
      <c r="B377" s="41" t="str">
        <f t="shared" si="30"/>
        <v/>
      </c>
      <c r="C377" s="42">
        <f t="shared" si="34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18</v>
      </c>
      <c r="L377" s="14" t="s">
        <v>27</v>
      </c>
      <c r="M377" s="20" t="s">
        <v>940</v>
      </c>
      <c r="N377" s="14" t="s">
        <v>941</v>
      </c>
      <c r="O377" s="43" t="s">
        <v>939</v>
      </c>
      <c r="R377" s="38" t="s">
        <v>104</v>
      </c>
      <c r="S377" s="38"/>
      <c r="T377" s="38"/>
      <c r="W377" s="15" t="str">
        <f>IF(IFERROR(VLOOKUP($M377,#REF!,1,0),"-")="-","","GS")</f>
        <v/>
      </c>
      <c r="Z377" s="59" t="str">
        <f>IF(OR($M377="",NOT($O377="{array}")),"",IFERROR(MATCH(PARAMETERS!$M377,DEFAULT!$B$5:$CI$5,0),""))</f>
        <v/>
      </c>
      <c r="AA377" s="56" t="str">
        <f t="shared" si="33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IF($AA377="","",IF($B377="I",VLOOKUP($AA377,#REF!,53,0),INDEX(VALUES!$B$1:$BQ$1,1,$AA377)))</f>
        <v/>
      </c>
    </row>
    <row r="378" spans="1:29" hidden="1" outlineLevel="1" x14ac:dyDescent="0.3">
      <c r="A378" s="22" t="s">
        <v>84</v>
      </c>
      <c r="B378" s="41" t="str">
        <f t="shared" si="30"/>
        <v/>
      </c>
      <c r="C378" s="42">
        <f t="shared" si="34"/>
        <v>377</v>
      </c>
      <c r="D378" s="38"/>
      <c r="E378" s="38"/>
      <c r="F378" s="38" t="s">
        <v>9</v>
      </c>
      <c r="G378" s="38"/>
      <c r="H378" s="38"/>
      <c r="I378" s="38" t="s">
        <v>9</v>
      </c>
      <c r="J378" s="38"/>
      <c r="K378" s="14" t="s">
        <v>24</v>
      </c>
      <c r="L378" s="14" t="s">
        <v>27</v>
      </c>
      <c r="M378" s="20" t="s">
        <v>942</v>
      </c>
      <c r="N378" s="14" t="s">
        <v>943</v>
      </c>
      <c r="O378" s="43">
        <v>0</v>
      </c>
      <c r="R378" s="38" t="s">
        <v>104</v>
      </c>
      <c r="S378" s="38"/>
      <c r="T378" s="38"/>
      <c r="W378" s="15" t="str">
        <f>IF(IFERROR(VLOOKUP($M378,#REF!,1,0),"-")="-","","GS")</f>
        <v/>
      </c>
      <c r="Z378" s="59" t="str">
        <f>IF(OR($M378="",NOT($O378="{array}")),"",IFERROR(MATCH(PARAMETERS!$M378,DEFAULT!$B$5:$CI$5,0),""))</f>
        <v/>
      </c>
      <c r="AA378" s="56" t="str">
        <f t="shared" si="33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IF($AA378="","",IF($B378="I",VLOOKUP($AA378,#REF!,53,0),INDEX(VALUES!$B$1:$BQ$1,1,$AA378)))</f>
        <v/>
      </c>
    </row>
    <row r="379" spans="1:29" hidden="1" outlineLevel="1" x14ac:dyDescent="0.3">
      <c r="A379" s="22" t="s">
        <v>84</v>
      </c>
      <c r="B379" s="41" t="str">
        <f t="shared" si="30"/>
        <v/>
      </c>
      <c r="C379" s="42">
        <f t="shared" si="34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44</v>
      </c>
      <c r="L379" s="14" t="s">
        <v>27</v>
      </c>
      <c r="M379" s="20" t="s">
        <v>944</v>
      </c>
      <c r="N379" s="14" t="s">
        <v>945</v>
      </c>
      <c r="O379" s="43">
        <v>1</v>
      </c>
      <c r="R379" s="38" t="s">
        <v>104</v>
      </c>
      <c r="S379" s="38"/>
      <c r="T379" s="38"/>
      <c r="W379" s="15" t="str">
        <f>IF(IFERROR(VLOOKUP($M379,#REF!,1,0),"-")="-","","GS")</f>
        <v/>
      </c>
      <c r="Z379" s="59" t="str">
        <f>IF(OR($M379="",NOT($O379="{array}")),"",IFERROR(MATCH(PARAMETERS!$M379,DEFAULT!$B$5:$CI$5,0),""))</f>
        <v/>
      </c>
      <c r="AA379" s="56" t="str">
        <f t="shared" si="33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IF($AA379="","",IF($B379="I",VLOOKUP($AA379,#REF!,53,0),INDEX(VALUES!$B$1:$BQ$1,1,$AA379)))</f>
        <v/>
      </c>
    </row>
    <row r="380" spans="1:29" hidden="1" outlineLevel="1" x14ac:dyDescent="0.3">
      <c r="A380" s="22" t="s">
        <v>84</v>
      </c>
      <c r="B380" s="41" t="str">
        <f t="shared" si="30"/>
        <v/>
      </c>
      <c r="C380" s="42">
        <f t="shared" si="34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18</v>
      </c>
      <c r="L380" s="14" t="s">
        <v>27</v>
      </c>
      <c r="M380" s="20" t="s">
        <v>946</v>
      </c>
      <c r="N380" s="14" t="s">
        <v>947</v>
      </c>
      <c r="O380" s="43" t="s">
        <v>945</v>
      </c>
      <c r="R380" s="38" t="s">
        <v>104</v>
      </c>
      <c r="S380" s="38"/>
      <c r="T380" s="38"/>
      <c r="W380" s="15" t="str">
        <f>IF(IFERROR(VLOOKUP($M380,#REF!,1,0),"-")="-","","GS")</f>
        <v/>
      </c>
      <c r="Z380" s="59" t="str">
        <f>IF(OR($M380="",NOT($O380="{array}")),"",IFERROR(MATCH(PARAMETERS!$M380,DEFAULT!$B$5:$CI$5,0),""))</f>
        <v/>
      </c>
      <c r="AA380" s="56" t="str">
        <f t="shared" si="33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IF($AA380="","",IF($B380="I",VLOOKUP($AA380,#REF!,53,0),INDEX(VALUES!$B$1:$BQ$1,1,$AA380)))</f>
        <v/>
      </c>
    </row>
    <row r="381" spans="1:29" hidden="1" outlineLevel="1" x14ac:dyDescent="0.3">
      <c r="A381" s="22" t="s">
        <v>84</v>
      </c>
      <c r="B381" s="41" t="str">
        <f t="shared" si="30"/>
        <v/>
      </c>
      <c r="C381" s="42">
        <f t="shared" si="34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14" t="s">
        <v>24</v>
      </c>
      <c r="L381" s="14" t="s">
        <v>27</v>
      </c>
      <c r="M381" s="20" t="s">
        <v>948</v>
      </c>
      <c r="N381" s="14" t="s">
        <v>949</v>
      </c>
      <c r="O381" s="43">
        <v>0</v>
      </c>
      <c r="R381" s="38" t="s">
        <v>104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IF(OR($M381="",NOT($O381="{array}")),"",IFERROR(MATCH(PARAMETERS!$M381,DEFAULT!$B$5:$CI$5,0),""))</f>
        <v/>
      </c>
      <c r="AA381" s="56" t="str">
        <f t="shared" si="33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IF($AA381="","",IF($B381="I",VLOOKUP($AA381,#REF!,53,0),INDEX(VALUES!$B$1:$BQ$1,1,$AA381)))</f>
        <v/>
      </c>
    </row>
    <row r="382" spans="1:29" hidden="1" outlineLevel="1" x14ac:dyDescent="0.3">
      <c r="A382" s="22" t="s">
        <v>84</v>
      </c>
      <c r="B382" s="41" t="str">
        <f t="shared" si="30"/>
        <v/>
      </c>
      <c r="C382" s="42">
        <f t="shared" si="34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44</v>
      </c>
      <c r="L382" s="14" t="s">
        <v>27</v>
      </c>
      <c r="M382" s="20" t="s">
        <v>950</v>
      </c>
      <c r="N382" s="14" t="s">
        <v>951</v>
      </c>
      <c r="O382" s="43">
        <v>1</v>
      </c>
      <c r="R382" s="38" t="s">
        <v>104</v>
      </c>
      <c r="S382" s="38"/>
      <c r="T382" s="38"/>
      <c r="W382" s="15" t="str">
        <f>IF(IFERROR(VLOOKUP($M382,#REF!,1,0),"-")="-","","GS")</f>
        <v/>
      </c>
      <c r="Z382" s="59" t="str">
        <f>IF(OR($M382="",NOT($O382="{array}")),"",IFERROR(MATCH(PARAMETERS!$M382,DEFAULT!$B$5:$CI$5,0),""))</f>
        <v/>
      </c>
      <c r="AA382" s="56" t="str">
        <f t="shared" si="33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IF($AA382="","",IF($B382="I",VLOOKUP($AA382,#REF!,53,0),INDEX(VALUES!$B$1:$BQ$1,1,$AA382)))</f>
        <v/>
      </c>
    </row>
    <row r="383" spans="1:29" hidden="1" outlineLevel="1" x14ac:dyDescent="0.3">
      <c r="A383" s="22" t="s">
        <v>84</v>
      </c>
      <c r="B383" s="41" t="str">
        <f t="shared" si="30"/>
        <v/>
      </c>
      <c r="C383" s="42">
        <f t="shared" si="34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18</v>
      </c>
      <c r="L383" s="14" t="s">
        <v>27</v>
      </c>
      <c r="M383" s="20" t="s">
        <v>952</v>
      </c>
      <c r="N383" s="14" t="s">
        <v>953</v>
      </c>
      <c r="O383" s="43" t="s">
        <v>951</v>
      </c>
      <c r="R383" s="38" t="s">
        <v>104</v>
      </c>
      <c r="S383" s="38"/>
      <c r="T383" s="38"/>
      <c r="W383" s="15" t="str">
        <f>IF(IFERROR(VLOOKUP($M383,#REF!,1,0),"-")="-","","GS")</f>
        <v/>
      </c>
      <c r="Z383" s="59" t="str">
        <f>IF(OR($M383="",NOT($O383="{array}")),"",IFERROR(MATCH(PARAMETERS!$M383,DEFAULT!$B$5:$CI$5,0),""))</f>
        <v/>
      </c>
      <c r="AA383" s="56" t="str">
        <f t="shared" si="33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IF($AA383="","",IF($B383="I",VLOOKUP($AA383,#REF!,53,0),INDEX(VALUES!$B$1:$BQ$1,1,$AA383)))</f>
        <v/>
      </c>
    </row>
    <row r="384" spans="1:29" hidden="1" outlineLevel="1" x14ac:dyDescent="0.3">
      <c r="A384" s="22" t="s">
        <v>84</v>
      </c>
      <c r="B384" s="41" t="str">
        <f t="shared" si="30"/>
        <v/>
      </c>
      <c r="C384" s="42">
        <f t="shared" si="34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954</v>
      </c>
      <c r="N384" s="14" t="s">
        <v>949</v>
      </c>
      <c r="O384" s="43">
        <v>0</v>
      </c>
      <c r="R384" s="38" t="s">
        <v>104</v>
      </c>
      <c r="S384" s="38"/>
      <c r="T384" s="38"/>
      <c r="W384" s="15" t="str">
        <f>IF(IFERROR(VLOOKUP($M384,#REF!,1,0),"-")="-","","GS")</f>
        <v/>
      </c>
      <c r="Z384" s="59" t="str">
        <f>IF(OR($M384="",NOT($O384="{array}")),"",IFERROR(MATCH(PARAMETERS!$M384,DEFAULT!$B$5:$CI$5,0),""))</f>
        <v/>
      </c>
      <c r="AA384" s="56" t="str">
        <f t="shared" si="33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IF($AA384="","",IF($B384="I",VLOOKUP($AA384,#REF!,53,0),INDEX(VALUES!$B$1:$BQ$1,1,$AA384)))</f>
        <v/>
      </c>
    </row>
    <row r="385" spans="1:29" hidden="1" outlineLevel="1" x14ac:dyDescent="0.3">
      <c r="A385" s="22" t="s">
        <v>84</v>
      </c>
      <c r="B385" s="41" t="str">
        <f t="shared" ref="B385:B424" si="35">IF($A385="P",IF(NOT($Z385=""),"A",IF(NOT($AA385=""),"I","")),IF(NOT($AA385=""),IF($A385="G","V","X"),IF(NOT($Z385=""),"A","")))</f>
        <v/>
      </c>
      <c r="C385" s="42">
        <f t="shared" si="34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44</v>
      </c>
      <c r="L385" s="14" t="s">
        <v>27</v>
      </c>
      <c r="M385" s="20" t="s">
        <v>955</v>
      </c>
      <c r="N385" s="14" t="s">
        <v>455</v>
      </c>
      <c r="O385" s="43">
        <v>1</v>
      </c>
      <c r="R385" s="38" t="s">
        <v>104</v>
      </c>
      <c r="S385" s="38"/>
      <c r="T385" s="38"/>
      <c r="W385" s="15" t="str">
        <f>IF(IFERROR(VLOOKUP($M385,#REF!,1,0),"-")="-","","GS")</f>
        <v/>
      </c>
      <c r="Z385" s="59" t="str">
        <f>IF(OR($M385="",NOT($O385="{array}")),"",IFERROR(MATCH(PARAMETERS!$M385,DEFAULT!$B$5:$CI$5,0),""))</f>
        <v/>
      </c>
      <c r="AA385" s="56" t="str">
        <f t="shared" si="33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IF($AA385="","",IF($B385="I",VLOOKUP($AA385,#REF!,53,0),INDEX(VALUES!$B$1:$BQ$1,1,$AA385)))</f>
        <v/>
      </c>
    </row>
    <row r="386" spans="1:29" hidden="1" outlineLevel="1" x14ac:dyDescent="0.3">
      <c r="A386" s="22" t="s">
        <v>84</v>
      </c>
      <c r="B386" s="41" t="str">
        <f t="shared" si="35"/>
        <v/>
      </c>
      <c r="C386" s="42">
        <f t="shared" si="34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18</v>
      </c>
      <c r="L386" s="14" t="s">
        <v>27</v>
      </c>
      <c r="M386" s="20" t="s">
        <v>956</v>
      </c>
      <c r="N386" s="14" t="s">
        <v>957</v>
      </c>
      <c r="O386" s="43" t="s">
        <v>455</v>
      </c>
      <c r="R386" s="38" t="s">
        <v>104</v>
      </c>
      <c r="S386" s="38"/>
      <c r="T386" s="38"/>
      <c r="W386" s="15" t="str">
        <f>IF(IFERROR(VLOOKUP($M386,#REF!,1,0),"-")="-","","GS")</f>
        <v/>
      </c>
      <c r="Z386" s="59" t="str">
        <f>IF(OR($M386="",NOT($O386="{array}")),"",IFERROR(MATCH(PARAMETERS!$M386,DEFAULT!$B$5:$CI$5,0),""))</f>
        <v/>
      </c>
      <c r="AA386" s="56" t="str">
        <f t="shared" si="33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IF($AA386="","",IF($B386="I",VLOOKUP($AA386,#REF!,53,0),INDEX(VALUES!$B$1:$BQ$1,1,$AA386)))</f>
        <v/>
      </c>
    </row>
    <row r="387" spans="1:29" hidden="1" outlineLevel="1" x14ac:dyDescent="0.3">
      <c r="A387" s="22" t="s">
        <v>84</v>
      </c>
      <c r="B387" s="41" t="str">
        <f t="shared" si="35"/>
        <v/>
      </c>
      <c r="C387" s="42">
        <f t="shared" si="34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24</v>
      </c>
      <c r="L387" s="14" t="s">
        <v>27</v>
      </c>
      <c r="M387" s="20" t="s">
        <v>958</v>
      </c>
      <c r="N387" s="14" t="s">
        <v>959</v>
      </c>
      <c r="O387" s="43">
        <v>0</v>
      </c>
      <c r="R387" s="38" t="s">
        <v>104</v>
      </c>
      <c r="S387" s="38"/>
      <c r="T387" s="38"/>
      <c r="W387" s="15" t="str">
        <f>IF(IFERROR(VLOOKUP($M387,#REF!,1,0),"-")="-","","GS")</f>
        <v/>
      </c>
      <c r="Z387" s="59" t="str">
        <f>IF(OR($M387="",NOT($O387="{array}")),"",IFERROR(MATCH(PARAMETERS!$M387,DEFAULT!$B$5:$CI$5,0),""))</f>
        <v/>
      </c>
      <c r="AA387" s="56" t="str">
        <f t="shared" si="33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IF($AA387="","",IF($B387="I",VLOOKUP($AA387,#REF!,53,0),INDEX(VALUES!$B$1:$BQ$1,1,$AA387)))</f>
        <v/>
      </c>
    </row>
    <row r="388" spans="1:29" hidden="1" outlineLevel="1" x14ac:dyDescent="0.3">
      <c r="A388" s="22" t="s">
        <v>84</v>
      </c>
      <c r="B388" s="41" t="str">
        <f t="shared" si="35"/>
        <v/>
      </c>
      <c r="C388" s="42">
        <f t="shared" si="34"/>
        <v>387</v>
      </c>
      <c r="D388" s="38"/>
      <c r="E388" s="38"/>
      <c r="F388" s="38" t="s">
        <v>9</v>
      </c>
      <c r="G388" s="38"/>
      <c r="H388" s="38"/>
      <c r="I388" s="38" t="s">
        <v>9</v>
      </c>
      <c r="J388" s="38"/>
      <c r="K388" s="14" t="s">
        <v>18</v>
      </c>
      <c r="L388" s="14" t="s">
        <v>27</v>
      </c>
      <c r="M388" s="20" t="s">
        <v>960</v>
      </c>
      <c r="N388" s="14" t="s">
        <v>961</v>
      </c>
      <c r="O388" s="43" t="s">
        <v>962</v>
      </c>
      <c r="R388" s="38" t="s">
        <v>104</v>
      </c>
      <c r="S388" s="38"/>
      <c r="T388" s="38"/>
      <c r="W388" s="15" t="str">
        <f>IF(IFERROR(VLOOKUP($M388,#REF!,1,0),"-")="-","","GS")</f>
        <v/>
      </c>
      <c r="Z388" s="59" t="str">
        <f>IF(OR($M388="",NOT($O388="{array}")),"",IFERROR(MATCH(PARAMETERS!$M388,DEFAULT!$B$5:$CI$5,0),""))</f>
        <v/>
      </c>
      <c r="AA388" s="56" t="str">
        <f t="shared" si="33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IF($AA388="","",IF($B388="I",VLOOKUP($AA388,#REF!,53,0),INDEX(VALUES!$B$1:$BQ$1,1,$AA388)))</f>
        <v/>
      </c>
    </row>
    <row r="389" spans="1:29" hidden="1" outlineLevel="1" x14ac:dyDescent="0.3">
      <c r="A389" s="22" t="s">
        <v>84</v>
      </c>
      <c r="B389" s="41" t="str">
        <f t="shared" si="35"/>
        <v/>
      </c>
      <c r="C389" s="42">
        <f t="shared" si="34"/>
        <v>388</v>
      </c>
      <c r="D389" s="38"/>
      <c r="E389" s="38"/>
      <c r="F389" s="38" t="s">
        <v>9</v>
      </c>
      <c r="G389" s="38" t="s">
        <v>9</v>
      </c>
      <c r="H389" s="38"/>
      <c r="I389" s="38" t="s">
        <v>9</v>
      </c>
      <c r="J389" s="38"/>
      <c r="K389" s="14" t="s">
        <v>44</v>
      </c>
      <c r="L389" s="14" t="s">
        <v>27</v>
      </c>
      <c r="M389" s="20" t="s">
        <v>963</v>
      </c>
      <c r="N389" s="14" t="s">
        <v>964</v>
      </c>
      <c r="O389" s="43">
        <v>2</v>
      </c>
      <c r="R389" s="38" t="s">
        <v>104</v>
      </c>
      <c r="S389" s="38"/>
      <c r="T389" s="38"/>
      <c r="W389" s="15" t="str">
        <f>IF(IFERROR(VLOOKUP($M389,#REF!,1,0),"-")="-","","GS")</f>
        <v/>
      </c>
      <c r="Z389" s="59" t="str">
        <f>IF(OR($M389="",NOT($O389="{array}")),"",IFERROR(MATCH(PARAMETERS!$M389,DEFAULT!$B$5:$CI$5,0),""))</f>
        <v/>
      </c>
      <c r="AA389" s="56" t="str">
        <f t="shared" si="33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IF($AA389="","",IF($B389="I",VLOOKUP($AA389,#REF!,53,0),INDEX(VALUES!$B$1:$BQ$1,1,$AA389)))</f>
        <v/>
      </c>
    </row>
    <row r="390" spans="1:29" hidden="1" outlineLevel="1" x14ac:dyDescent="0.3">
      <c r="A390" s="22" t="s">
        <v>84</v>
      </c>
      <c r="B390" s="41" t="str">
        <f t="shared" si="35"/>
        <v/>
      </c>
      <c r="C390" s="42">
        <f t="shared" si="34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18</v>
      </c>
      <c r="L390" s="14" t="s">
        <v>27</v>
      </c>
      <c r="M390" s="20" t="s">
        <v>965</v>
      </c>
      <c r="N390" s="14" t="s">
        <v>966</v>
      </c>
      <c r="O390" s="43" t="s">
        <v>800</v>
      </c>
      <c r="R390" s="38" t="s">
        <v>104</v>
      </c>
      <c r="S390" s="38"/>
      <c r="T390" s="38"/>
      <c r="W390" s="15" t="str">
        <f>IF(IFERROR(VLOOKUP($M390,#REF!,1,0),"-")="-","","GS")</f>
        <v/>
      </c>
      <c r="Z390" s="59" t="str">
        <f>IF(OR($M390="",NOT($O390="{array}")),"",IFERROR(MATCH(PARAMETERS!$M390,DEFAULT!$B$5:$CI$5,0),""))</f>
        <v/>
      </c>
      <c r="AA390" s="56" t="str">
        <f t="shared" si="33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IF($AA390="","",IF($B390="I",VLOOKUP($AA390,#REF!,53,0),INDEX(VALUES!$B$1:$BQ$1,1,$AA390)))</f>
        <v/>
      </c>
    </row>
    <row r="391" spans="1:29" hidden="1" outlineLevel="1" x14ac:dyDescent="0.3">
      <c r="A391" s="22" t="s">
        <v>84</v>
      </c>
      <c r="B391" s="41" t="str">
        <f t="shared" si="35"/>
        <v/>
      </c>
      <c r="C391" s="42">
        <f t="shared" si="34"/>
        <v>390</v>
      </c>
      <c r="D391" s="38"/>
      <c r="E391" s="38"/>
      <c r="F391" s="38" t="s">
        <v>9</v>
      </c>
      <c r="G391" s="38"/>
      <c r="H391" s="38"/>
      <c r="I391" s="38" t="s">
        <v>9</v>
      </c>
      <c r="J391" s="38"/>
      <c r="K391" s="14" t="s">
        <v>24</v>
      </c>
      <c r="L391" s="14" t="s">
        <v>27</v>
      </c>
      <c r="M391" s="20" t="s">
        <v>967</v>
      </c>
      <c r="N391" s="14" t="s">
        <v>968</v>
      </c>
      <c r="O391" s="43">
        <v>7.4999999999999997E-2</v>
      </c>
      <c r="R391" s="38" t="s">
        <v>104</v>
      </c>
      <c r="S391" s="38"/>
      <c r="T391" s="38"/>
      <c r="W391" s="15" t="str">
        <f>IF(IFERROR(VLOOKUP($M391,#REF!,1,0),"-")="-","","GS")</f>
        <v/>
      </c>
      <c r="Z391" s="59" t="str">
        <f>IF(OR($M391="",NOT($O391="{array}")),"",IFERROR(MATCH(PARAMETERS!$M391,DEFAULT!$B$5:$CI$5,0),""))</f>
        <v/>
      </c>
      <c r="AA391" s="56" t="str">
        <f t="shared" ref="AA391:AA424" si="36">IF($M391="","",IFERROR(MATCH($M391,VALUESnames,0),""))</f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IF($AA391="","",IF($B391="I",VLOOKUP($AA391,#REF!,53,0),INDEX(VALUES!$B$1:$BQ$1,1,$AA391)))</f>
        <v/>
      </c>
    </row>
    <row r="392" spans="1:29" hidden="1" outlineLevel="1" x14ac:dyDescent="0.3">
      <c r="A392" s="22" t="s">
        <v>84</v>
      </c>
      <c r="B392" s="41" t="str">
        <f t="shared" si="35"/>
        <v/>
      </c>
      <c r="C392" s="42">
        <f t="shared" ref="C392:C424" si="37">(ROW()-1)</f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36</v>
      </c>
      <c r="L392" s="14" t="s">
        <v>27</v>
      </c>
      <c r="M392" s="20" t="s">
        <v>969</v>
      </c>
      <c r="N392" s="14" t="s">
        <v>970</v>
      </c>
      <c r="O392" s="43">
        <v>1.5</v>
      </c>
      <c r="R392" s="38" t="s">
        <v>104</v>
      </c>
      <c r="S392" s="38"/>
      <c r="T392" s="38"/>
      <c r="W392" s="15" t="str">
        <f>IF(IFERROR(VLOOKUP($M392,#REF!,1,0),"-")="-","","GS")</f>
        <v/>
      </c>
      <c r="Z392" s="59" t="str">
        <f>IF(OR($M392="",NOT($O392="{array}")),"",IFERROR(MATCH(PARAMETERS!$M392,DEFAULT!$B$5:$CI$5,0),""))</f>
        <v/>
      </c>
      <c r="AA392" s="56" t="str">
        <f t="shared" si="36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IF($AA392="","",IF($B392="I",VLOOKUP($AA392,#REF!,53,0),INDEX(VALUES!$B$1:$BQ$1,1,$AA392)))</f>
        <v/>
      </c>
    </row>
    <row r="393" spans="1:29" hidden="1" outlineLevel="1" x14ac:dyDescent="0.3">
      <c r="A393" s="22" t="s">
        <v>84</v>
      </c>
      <c r="B393" s="41" t="str">
        <f t="shared" si="35"/>
        <v/>
      </c>
      <c r="C393" s="42">
        <f t="shared" si="37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53</v>
      </c>
      <c r="L393" s="14" t="s">
        <v>27</v>
      </c>
      <c r="M393" s="20" t="s">
        <v>971</v>
      </c>
      <c r="N393" s="14" t="s">
        <v>972</v>
      </c>
      <c r="O393" s="43">
        <v>1</v>
      </c>
      <c r="R393" s="38" t="s">
        <v>104</v>
      </c>
      <c r="S393" s="38"/>
      <c r="T393" s="38"/>
      <c r="W393" s="15" t="str">
        <f>IF(IFERROR(VLOOKUP($M393,#REF!,1,0),"-")="-","","GS")</f>
        <v/>
      </c>
      <c r="Z393" s="59" t="str">
        <f>IF(OR($M393="",NOT($O393="{array}")),"",IFERROR(MATCH(PARAMETERS!$M393,DEFAULT!$B$5:$CI$5,0),""))</f>
        <v/>
      </c>
      <c r="AA393" s="56" t="str">
        <f t="shared" si="36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IF($AA393="","",IF($B393="I",VLOOKUP($AA393,#REF!,53,0),INDEX(VALUES!$B$1:$BQ$1,1,$AA393)))</f>
        <v/>
      </c>
    </row>
    <row r="394" spans="1:29" hidden="1" outlineLevel="1" x14ac:dyDescent="0.3">
      <c r="A394" s="22" t="s">
        <v>84</v>
      </c>
      <c r="B394" s="41" t="str">
        <f t="shared" si="35"/>
        <v/>
      </c>
      <c r="C394" s="42">
        <f t="shared" si="37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24</v>
      </c>
      <c r="L394" s="14" t="s">
        <v>27</v>
      </c>
      <c r="M394" s="20" t="s">
        <v>973</v>
      </c>
      <c r="N394" s="14" t="s">
        <v>974</v>
      </c>
      <c r="O394" s="43">
        <v>0</v>
      </c>
      <c r="R394" s="38" t="s">
        <v>104</v>
      </c>
      <c r="S394" s="38"/>
      <c r="T394" s="38"/>
      <c r="W394" s="15" t="str">
        <f>IF(IFERROR(VLOOKUP($M394,#REF!,1,0),"-")="-","","GS")</f>
        <v/>
      </c>
      <c r="Z394" s="59" t="str">
        <f>IF(OR($M394="",NOT($O394="{array}")),"",IFERROR(MATCH(PARAMETERS!$M394,DEFAULT!$B$5:$CI$5,0),""))</f>
        <v/>
      </c>
      <c r="AA394" s="56" t="str">
        <f t="shared" si="36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IF($AA394="","",IF($B394="I",VLOOKUP($AA394,#REF!,53,0),INDEX(VALUES!$B$1:$BQ$1,1,$AA394)))</f>
        <v/>
      </c>
    </row>
    <row r="395" spans="1:29" hidden="1" outlineLevel="1" x14ac:dyDescent="0.3">
      <c r="A395" s="22" t="s">
        <v>84</v>
      </c>
      <c r="B395" s="41" t="str">
        <f t="shared" si="35"/>
        <v/>
      </c>
      <c r="C395" s="42">
        <f t="shared" si="37"/>
        <v>394</v>
      </c>
      <c r="D395" s="38"/>
      <c r="E395" s="38"/>
      <c r="F395" s="38"/>
      <c r="G395" s="38" t="s">
        <v>9</v>
      </c>
      <c r="H395" s="38"/>
      <c r="I395" s="38" t="s">
        <v>9</v>
      </c>
      <c r="J395" s="38"/>
      <c r="K395" s="14" t="s">
        <v>36</v>
      </c>
      <c r="L395" s="14" t="s">
        <v>27</v>
      </c>
      <c r="M395" s="20" t="s">
        <v>975</v>
      </c>
      <c r="N395" s="14" t="s">
        <v>976</v>
      </c>
      <c r="O395" s="43">
        <v>0</v>
      </c>
      <c r="R395" s="38" t="s">
        <v>104</v>
      </c>
      <c r="S395" s="38"/>
      <c r="T395" s="38"/>
      <c r="W395" s="15" t="str">
        <f>IF(IFERROR(VLOOKUP($M395,#REF!,1,0),"-")="-","","GS")</f>
        <v/>
      </c>
      <c r="Z395" s="59" t="str">
        <f>IF(OR($M395="",NOT($O395="{array}")),"",IFERROR(MATCH(PARAMETERS!$M395,DEFAULT!$B$5:$CI$5,0),""))</f>
        <v/>
      </c>
      <c r="AA395" s="56" t="str">
        <f t="shared" si="36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IF($AA395="","",IF($B395="I",VLOOKUP($AA395,#REF!,53,0),INDEX(VALUES!$B$1:$BQ$1,1,$AA395)))</f>
        <v/>
      </c>
    </row>
    <row r="396" spans="1:29" hidden="1" outlineLevel="1" x14ac:dyDescent="0.3">
      <c r="A396" s="22" t="s">
        <v>84</v>
      </c>
      <c r="B396" s="41" t="str">
        <f t="shared" si="35"/>
        <v/>
      </c>
      <c r="C396" s="42">
        <f t="shared" si="37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4" t="s">
        <v>36</v>
      </c>
      <c r="L396" s="14" t="s">
        <v>27</v>
      </c>
      <c r="M396" s="20" t="s">
        <v>977</v>
      </c>
      <c r="N396" s="14" t="s">
        <v>978</v>
      </c>
      <c r="O396" s="43">
        <v>0</v>
      </c>
      <c r="R396" s="38" t="s">
        <v>104</v>
      </c>
      <c r="S396" s="38"/>
      <c r="T396" s="38"/>
      <c r="W396" s="15" t="str">
        <f>IF(IFERROR(VLOOKUP($M396,#REF!,1,0),"-")="-","","GS")</f>
        <v/>
      </c>
      <c r="Z396" s="59" t="str">
        <f>IF(OR($M396="",NOT($O396="{array}")),"",IFERROR(MATCH(PARAMETERS!$M396,DEFAULT!$B$5:$CI$5,0),""))</f>
        <v/>
      </c>
      <c r="AA396" s="56" t="str">
        <f t="shared" si="36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IF($AA396="","",IF($B396="I",VLOOKUP($AA396,#REF!,53,0),INDEX(VALUES!$B$1:$BQ$1,1,$AA396)))</f>
        <v/>
      </c>
    </row>
    <row r="397" spans="1:29" hidden="1" outlineLevel="1" x14ac:dyDescent="0.3">
      <c r="A397" s="22" t="s">
        <v>84</v>
      </c>
      <c r="B397" s="41" t="str">
        <f t="shared" si="35"/>
        <v/>
      </c>
      <c r="C397" s="42">
        <f t="shared" si="37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24</v>
      </c>
      <c r="L397" s="14" t="s">
        <v>27</v>
      </c>
      <c r="M397" s="20" t="s">
        <v>979</v>
      </c>
      <c r="N397" s="14" t="s">
        <v>980</v>
      </c>
      <c r="O397" s="43">
        <v>0.4</v>
      </c>
      <c r="R397" s="38" t="s">
        <v>104</v>
      </c>
      <c r="S397" s="38"/>
      <c r="T397" s="38"/>
      <c r="W397" s="15" t="str">
        <f>IF(IFERROR(VLOOKUP($M397,#REF!,1,0),"-")="-","","GS")</f>
        <v/>
      </c>
      <c r="Z397" s="59" t="str">
        <f>IF(OR($M397="",NOT($O397="{array}")),"",IFERROR(MATCH(PARAMETERS!$M397,DEFAULT!$B$5:$CI$5,0),""))</f>
        <v/>
      </c>
      <c r="AA397" s="56" t="str">
        <f t="shared" si="36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IF($AA397="","",IF($B397="I",VLOOKUP($AA397,#REF!,53,0),INDEX(VALUES!$B$1:$BQ$1,1,$AA397)))</f>
        <v/>
      </c>
    </row>
    <row r="398" spans="1:29" hidden="1" outlineLevel="1" x14ac:dyDescent="0.3">
      <c r="A398" s="22" t="s">
        <v>84</v>
      </c>
      <c r="B398" s="41" t="str">
        <f t="shared" si="35"/>
        <v/>
      </c>
      <c r="C398" s="42">
        <f t="shared" si="37"/>
        <v>397</v>
      </c>
      <c r="D398" s="38"/>
      <c r="E398" s="38"/>
      <c r="F398" s="38"/>
      <c r="G398" s="38" t="s">
        <v>9</v>
      </c>
      <c r="H398" s="38"/>
      <c r="I398" s="38" t="s">
        <v>9</v>
      </c>
      <c r="J398" s="38"/>
      <c r="K398" s="14" t="s">
        <v>36</v>
      </c>
      <c r="L398" s="14" t="s">
        <v>27</v>
      </c>
      <c r="M398" s="20" t="s">
        <v>981</v>
      </c>
      <c r="N398" s="14" t="s">
        <v>982</v>
      </c>
      <c r="O398" s="43">
        <v>0</v>
      </c>
      <c r="R398" s="38" t="s">
        <v>104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IF(OR($M398="",NOT($O398="{array}")),"",IFERROR(MATCH(PARAMETERS!$M398,DEFAULT!$B$5:$CI$5,0),""))</f>
        <v/>
      </c>
      <c r="AA398" s="56" t="str">
        <f t="shared" si="36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IF($AA398="","",IF($B398="I",VLOOKUP($AA398,#REF!,53,0),INDEX(VALUES!$B$1:$BQ$1,1,$AA398)))</f>
        <v/>
      </c>
    </row>
    <row r="399" spans="1:29" hidden="1" outlineLevel="1" x14ac:dyDescent="0.3">
      <c r="A399" s="22" t="s">
        <v>84</v>
      </c>
      <c r="B399" s="41" t="str">
        <f t="shared" si="35"/>
        <v/>
      </c>
      <c r="C399" s="42">
        <f t="shared" si="37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14" t="s">
        <v>36</v>
      </c>
      <c r="L399" s="14" t="s">
        <v>27</v>
      </c>
      <c r="M399" s="20" t="s">
        <v>983</v>
      </c>
      <c r="N399" s="14" t="s">
        <v>984</v>
      </c>
      <c r="O399" s="43">
        <v>2</v>
      </c>
      <c r="R399" s="38" t="s">
        <v>104</v>
      </c>
      <c r="S399" s="38"/>
      <c r="T399" s="38"/>
      <c r="W399" s="15" t="str">
        <f>IF(IFERROR(VLOOKUP($M399,#REF!,1,0),"-")="-","","GS")</f>
        <v/>
      </c>
      <c r="Z399" s="59" t="str">
        <f>IF(OR($M399="",NOT($O399="{array}")),"",IFERROR(MATCH(PARAMETERS!$M399,DEFAULT!$B$5:$CI$5,0),""))</f>
        <v/>
      </c>
      <c r="AA399" s="56" t="str">
        <f t="shared" si="36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IF($AA399="","",IF($B399="I",VLOOKUP($AA399,#REF!,53,0),INDEX(VALUES!$B$1:$BQ$1,1,$AA399)))</f>
        <v/>
      </c>
    </row>
    <row r="400" spans="1:29" hidden="1" outlineLevel="1" x14ac:dyDescent="0.3">
      <c r="A400" s="22" t="s">
        <v>84</v>
      </c>
      <c r="B400" s="41" t="str">
        <f t="shared" si="35"/>
        <v/>
      </c>
      <c r="C400" s="42">
        <f t="shared" si="37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47</v>
      </c>
      <c r="L400" s="14" t="s">
        <v>27</v>
      </c>
      <c r="M400" s="20" t="s">
        <v>985</v>
      </c>
      <c r="N400" s="14" t="s">
        <v>986</v>
      </c>
      <c r="O400" s="43">
        <v>0</v>
      </c>
      <c r="R400" s="38" t="s">
        <v>104</v>
      </c>
      <c r="S400" s="38"/>
      <c r="T400" s="38"/>
      <c r="W400" s="15" t="str">
        <f>IF(IFERROR(VLOOKUP($M400,#REF!,1,0),"-")="-","","GS")</f>
        <v/>
      </c>
      <c r="Z400" s="59" t="str">
        <f>IF(OR($M400="",NOT($O400="{array}")),"",IFERROR(MATCH(PARAMETERS!$M400,DEFAULT!$B$5:$CI$5,0),""))</f>
        <v/>
      </c>
      <c r="AA400" s="56" t="str">
        <f t="shared" si="36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IF($AA400="","",IF($B400="I",VLOOKUP($AA400,#REF!,53,0),INDEX(VALUES!$B$1:$BQ$1,1,$AA400)))</f>
        <v/>
      </c>
    </row>
    <row r="401" spans="1:29" hidden="1" outlineLevel="1" x14ac:dyDescent="0.3">
      <c r="A401" s="22" t="s">
        <v>84</v>
      </c>
      <c r="B401" s="41" t="str">
        <f t="shared" si="35"/>
        <v/>
      </c>
      <c r="C401" s="42">
        <f t="shared" si="37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24</v>
      </c>
      <c r="L401" s="14" t="s">
        <v>27</v>
      </c>
      <c r="M401" s="20" t="s">
        <v>987</v>
      </c>
      <c r="N401" s="14" t="s">
        <v>988</v>
      </c>
      <c r="O401" s="43">
        <v>0.05</v>
      </c>
      <c r="R401" s="38" t="s">
        <v>104</v>
      </c>
      <c r="S401" s="38"/>
      <c r="T401" s="38"/>
      <c r="W401" s="15" t="str">
        <f>IF(IFERROR(VLOOKUP($M401,#REF!,1,0),"-")="-","","GS")</f>
        <v/>
      </c>
      <c r="Z401" s="59" t="str">
        <f>IF(OR($M401="",NOT($O401="{array}")),"",IFERROR(MATCH(PARAMETERS!$M401,DEFAULT!$B$5:$CI$5,0),""))</f>
        <v/>
      </c>
      <c r="AA401" s="56" t="str">
        <f t="shared" si="36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IF($AA401="","",IF($B401="I",VLOOKUP($AA401,#REF!,53,0),INDEX(VALUES!$B$1:$BQ$1,1,$AA401)))</f>
        <v/>
      </c>
    </row>
    <row r="402" spans="1:29" hidden="1" outlineLevel="1" x14ac:dyDescent="0.3">
      <c r="A402" s="22" t="s">
        <v>84</v>
      </c>
      <c r="B402" s="41" t="str">
        <f t="shared" si="35"/>
        <v/>
      </c>
      <c r="C402" s="42">
        <f t="shared" si="37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36</v>
      </c>
      <c r="L402" s="14" t="s">
        <v>27</v>
      </c>
      <c r="M402" s="20" t="s">
        <v>989</v>
      </c>
      <c r="N402" s="14" t="s">
        <v>990</v>
      </c>
      <c r="O402" s="43">
        <v>1</v>
      </c>
      <c r="R402" s="38" t="s">
        <v>104</v>
      </c>
      <c r="S402" s="38"/>
      <c r="T402" s="38"/>
      <c r="W402" s="15" t="str">
        <f>IF(IFERROR(VLOOKUP($M402,#REF!,1,0),"-")="-","","GS")</f>
        <v/>
      </c>
      <c r="Z402" s="59" t="str">
        <f>IF(OR($M402="",NOT($O402="{array}")),"",IFERROR(MATCH(PARAMETERS!$M402,DEFAULT!$B$5:$CI$5,0),""))</f>
        <v/>
      </c>
      <c r="AA402" s="56" t="str">
        <f t="shared" si="36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IF($AA402="","",IF($B402="I",VLOOKUP($AA402,#REF!,53,0),INDEX(VALUES!$B$1:$BQ$1,1,$AA402)))</f>
        <v/>
      </c>
    </row>
    <row r="403" spans="1:29" hidden="1" outlineLevel="1" x14ac:dyDescent="0.3">
      <c r="A403" s="22" t="s">
        <v>84</v>
      </c>
      <c r="B403" s="41" t="str">
        <f t="shared" si="35"/>
        <v/>
      </c>
      <c r="C403" s="42">
        <f t="shared" si="37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24</v>
      </c>
      <c r="L403" s="14" t="s">
        <v>27</v>
      </c>
      <c r="M403" s="20" t="s">
        <v>991</v>
      </c>
      <c r="N403" s="14" t="s">
        <v>992</v>
      </c>
      <c r="O403" s="43">
        <v>0</v>
      </c>
      <c r="R403" s="38" t="s">
        <v>104</v>
      </c>
      <c r="S403" s="38"/>
      <c r="T403" s="38"/>
      <c r="W403" s="15" t="str">
        <f>IF(IFERROR(VLOOKUP($M403,#REF!,1,0),"-")="-","","GS")</f>
        <v/>
      </c>
      <c r="Z403" s="59" t="str">
        <f>IF(OR($M403="",NOT($O403="{array}")),"",IFERROR(MATCH(PARAMETERS!$M403,DEFAULT!$B$5:$CI$5,0),""))</f>
        <v/>
      </c>
      <c r="AA403" s="56" t="str">
        <f t="shared" si="36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IF($AA403="","",IF($B403="I",VLOOKUP($AA403,#REF!,53,0),INDEX(VALUES!$B$1:$BQ$1,1,$AA403)))</f>
        <v/>
      </c>
    </row>
    <row r="404" spans="1:29" hidden="1" outlineLevel="1" x14ac:dyDescent="0.3">
      <c r="A404" s="22" t="s">
        <v>84</v>
      </c>
      <c r="B404" s="41" t="str">
        <f t="shared" si="35"/>
        <v/>
      </c>
      <c r="C404" s="42">
        <f t="shared" si="37"/>
        <v>403</v>
      </c>
      <c r="D404" s="38"/>
      <c r="E404" s="38"/>
      <c r="F404" s="38"/>
      <c r="G404" s="38" t="s">
        <v>9</v>
      </c>
      <c r="H404" s="38"/>
      <c r="I404" s="38" t="s">
        <v>9</v>
      </c>
      <c r="J404" s="38"/>
      <c r="K404" s="14" t="s">
        <v>31</v>
      </c>
      <c r="L404" s="14" t="s">
        <v>27</v>
      </c>
      <c r="M404" s="20" t="s">
        <v>993</v>
      </c>
      <c r="N404" s="14" t="s">
        <v>994</v>
      </c>
      <c r="O404" s="43">
        <v>0</v>
      </c>
      <c r="R404" s="38" t="s">
        <v>104</v>
      </c>
      <c r="S404" s="38"/>
      <c r="T404" s="38"/>
      <c r="W404" s="15" t="str">
        <f>IF(IFERROR(VLOOKUP($M404,#REF!,1,0),"-")="-","","GS")</f>
        <v/>
      </c>
      <c r="Z404" s="59" t="str">
        <f>IF(OR($M404="",NOT($O404="{array}")),"",IFERROR(MATCH(PARAMETERS!$M404,DEFAULT!$B$5:$CI$5,0),""))</f>
        <v/>
      </c>
      <c r="AA404" s="56" t="str">
        <f t="shared" si="36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IF($AA404="","",IF($B404="I",VLOOKUP($AA404,#REF!,53,0),INDEX(VALUES!$B$1:$BQ$1,1,$AA404)))</f>
        <v/>
      </c>
    </row>
    <row r="405" spans="1:29" hidden="1" outlineLevel="1" x14ac:dyDescent="0.3">
      <c r="A405" s="22" t="s">
        <v>84</v>
      </c>
      <c r="B405" s="41" t="str">
        <f t="shared" si="35"/>
        <v/>
      </c>
      <c r="C405" s="42">
        <f t="shared" si="37"/>
        <v>404</v>
      </c>
      <c r="D405" s="38"/>
      <c r="E405" s="38"/>
      <c r="F405" s="38" t="s">
        <v>9</v>
      </c>
      <c r="G405" s="38"/>
      <c r="H405" s="38" t="s">
        <v>9</v>
      </c>
      <c r="I405" s="38"/>
      <c r="J405" s="38"/>
      <c r="K405" s="14" t="s">
        <v>47</v>
      </c>
      <c r="L405" s="14" t="s">
        <v>27</v>
      </c>
      <c r="M405" s="20" t="s">
        <v>995</v>
      </c>
      <c r="N405" s="14" t="s">
        <v>996</v>
      </c>
      <c r="O405" s="43">
        <v>0</v>
      </c>
      <c r="R405" s="38" t="s">
        <v>104</v>
      </c>
      <c r="S405" s="38"/>
      <c r="T405" s="38"/>
      <c r="W405" s="15" t="str">
        <f>IF(IFERROR(VLOOKUP($M405,#REF!,1,0),"-")="-","","GS")</f>
        <v/>
      </c>
      <c r="Z405" s="59" t="str">
        <f>IF(OR($M405="",NOT($O405="{array}")),"",IFERROR(MATCH(PARAMETERS!$M405,DEFAULT!$B$5:$CI$5,0),""))</f>
        <v/>
      </c>
      <c r="AA405" s="56" t="str">
        <f t="shared" si="36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IF($AA405="","",IF($B405="I",VLOOKUP($AA405,#REF!,53,0),INDEX(VALUES!$B$1:$BQ$1,1,$AA405)))</f>
        <v/>
      </c>
    </row>
    <row r="406" spans="1:29" hidden="1" outlineLevel="1" x14ac:dyDescent="0.3">
      <c r="A406" s="22" t="s">
        <v>84</v>
      </c>
      <c r="B406" s="41" t="str">
        <f t="shared" si="35"/>
        <v/>
      </c>
      <c r="C406" s="42">
        <f t="shared" si="37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44</v>
      </c>
      <c r="L406" s="14" t="s">
        <v>27</v>
      </c>
      <c r="M406" s="20" t="s">
        <v>997</v>
      </c>
      <c r="N406" s="14" t="s">
        <v>998</v>
      </c>
      <c r="O406" s="43">
        <v>1</v>
      </c>
      <c r="R406" s="38" t="s">
        <v>104</v>
      </c>
      <c r="S406" s="38"/>
      <c r="T406" s="38"/>
      <c r="W406" s="15" t="str">
        <f>IF(IFERROR(VLOOKUP($M406,#REF!,1,0),"-")="-","","GS")</f>
        <v/>
      </c>
      <c r="Z406" s="59" t="str">
        <f>IF(OR($M406="",NOT($O406="{array}")),"",IFERROR(MATCH(PARAMETERS!$M406,DEFAULT!$B$5:$CI$5,0),""))</f>
        <v/>
      </c>
      <c r="AA406" s="56" t="str">
        <f t="shared" si="36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IF($AA406="","",IF($B406="I",VLOOKUP($AA406,#REF!,53,0),INDEX(VALUES!$B$1:$BQ$1,1,$AA406)))</f>
        <v/>
      </c>
    </row>
    <row r="407" spans="1:29" hidden="1" outlineLevel="1" x14ac:dyDescent="0.3">
      <c r="A407" s="22" t="s">
        <v>84</v>
      </c>
      <c r="B407" s="41" t="str">
        <f t="shared" si="35"/>
        <v/>
      </c>
      <c r="C407" s="42">
        <f t="shared" si="37"/>
        <v>406</v>
      </c>
      <c r="D407" s="38"/>
      <c r="E407" s="38"/>
      <c r="F407" s="38" t="s">
        <v>9</v>
      </c>
      <c r="G407" s="38"/>
      <c r="H407" s="38"/>
      <c r="I407" s="38" t="s">
        <v>9</v>
      </c>
      <c r="J407" s="38"/>
      <c r="K407" s="14" t="s">
        <v>47</v>
      </c>
      <c r="L407" s="14" t="s">
        <v>27</v>
      </c>
      <c r="M407" s="20" t="s">
        <v>999</v>
      </c>
      <c r="N407" s="14" t="s">
        <v>1000</v>
      </c>
      <c r="O407" s="43">
        <v>1</v>
      </c>
      <c r="R407" s="38" t="s">
        <v>104</v>
      </c>
      <c r="S407" s="38"/>
      <c r="T407" s="38"/>
      <c r="W407" s="15" t="str">
        <f>IF(IFERROR(VLOOKUP($M407,#REF!,1,0),"-")="-","","GS")</f>
        <v/>
      </c>
      <c r="Z407" s="59" t="str">
        <f>IF(OR($M407="",NOT($O407="{array}")),"",IFERROR(MATCH(PARAMETERS!$M407,DEFAULT!$B$5:$CI$5,0),""))</f>
        <v/>
      </c>
      <c r="AA407" s="56" t="str">
        <f t="shared" si="36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IF($AA407="","",IF($B407="I",VLOOKUP($AA407,#REF!,53,0),INDEX(VALUES!$B$1:$BQ$1,1,$AA407)))</f>
        <v/>
      </c>
    </row>
    <row r="408" spans="1:29" hidden="1" outlineLevel="1" x14ac:dyDescent="0.3">
      <c r="A408" s="22" t="s">
        <v>84</v>
      </c>
      <c r="B408" s="41" t="str">
        <f t="shared" si="35"/>
        <v/>
      </c>
      <c r="C408" s="42">
        <f t="shared" si="37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18</v>
      </c>
      <c r="L408" s="14" t="s">
        <v>27</v>
      </c>
      <c r="M408" s="20" t="s">
        <v>1001</v>
      </c>
      <c r="N408" s="14" t="s">
        <v>1002</v>
      </c>
      <c r="O408" s="43" t="s">
        <v>1003</v>
      </c>
      <c r="R408" s="38" t="s">
        <v>104</v>
      </c>
      <c r="S408" s="38"/>
      <c r="T408" s="38"/>
      <c r="W408" s="15" t="str">
        <f>IF(IFERROR(VLOOKUP($M408,#REF!,1,0),"-")="-","","GS")</f>
        <v/>
      </c>
      <c r="Z408" s="59" t="str">
        <f>IF(OR($M408="",NOT($O408="{array}")),"",IFERROR(MATCH(PARAMETERS!$M408,DEFAULT!$B$5:$CI$5,0),""))</f>
        <v/>
      </c>
      <c r="AA408" s="56" t="str">
        <f t="shared" si="36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IF($AA408="","",IF($B408="I",VLOOKUP($AA408,#REF!,53,0),INDEX(VALUES!$B$1:$BQ$1,1,$AA408)))</f>
        <v/>
      </c>
    </row>
    <row r="409" spans="1:29" hidden="1" outlineLevel="1" x14ac:dyDescent="0.3">
      <c r="A409" s="22" t="s">
        <v>84</v>
      </c>
      <c r="B409" s="41" t="str">
        <f t="shared" si="35"/>
        <v/>
      </c>
      <c r="C409" s="42">
        <f t="shared" si="37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14" t="s">
        <v>47</v>
      </c>
      <c r="L409" s="14" t="s">
        <v>27</v>
      </c>
      <c r="M409" s="20" t="s">
        <v>1004</v>
      </c>
      <c r="N409" s="14" t="s">
        <v>1005</v>
      </c>
      <c r="O409" s="43">
        <v>1</v>
      </c>
      <c r="R409" s="38" t="s">
        <v>104</v>
      </c>
      <c r="S409" s="38"/>
      <c r="T409" s="38"/>
      <c r="W409" s="15" t="str">
        <f>IF(IFERROR(VLOOKUP($M409,#REF!,1,0),"-")="-","","GS")</f>
        <v/>
      </c>
      <c r="Z409" s="59" t="str">
        <f>IF(OR($M409="",NOT($O409="{array}")),"",IFERROR(MATCH(PARAMETERS!$M409,DEFAULT!$B$5:$CI$5,0),""))</f>
        <v/>
      </c>
      <c r="AA409" s="56" t="str">
        <f t="shared" si="36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IF($AA409="","",IF($B409="I",VLOOKUP($AA409,#REF!,53,0),INDEX(VALUES!$B$1:$BQ$1,1,$AA409)))</f>
        <v/>
      </c>
    </row>
    <row r="410" spans="1:29" hidden="1" outlineLevel="1" x14ac:dyDescent="0.3">
      <c r="A410" s="22" t="s">
        <v>84</v>
      </c>
      <c r="B410" s="41" t="str">
        <f t="shared" si="35"/>
        <v/>
      </c>
      <c r="C410" s="42">
        <f t="shared" si="37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47</v>
      </c>
      <c r="L410" s="14" t="s">
        <v>27</v>
      </c>
      <c r="M410" s="20" t="s">
        <v>1006</v>
      </c>
      <c r="N410" s="14" t="s">
        <v>1007</v>
      </c>
      <c r="O410" s="43">
        <v>1</v>
      </c>
      <c r="R410" s="38" t="s">
        <v>104</v>
      </c>
      <c r="S410" s="38"/>
      <c r="T410" s="38"/>
      <c r="W410" s="15" t="str">
        <f>IF(IFERROR(VLOOKUP($M410,#REF!,1,0),"-")="-","","GS")</f>
        <v/>
      </c>
      <c r="Z410" s="59" t="str">
        <f>IF(OR($M410="",NOT($O410="{array}")),"",IFERROR(MATCH(PARAMETERS!$M410,DEFAULT!$B$5:$CI$5,0),""))</f>
        <v/>
      </c>
      <c r="AA410" s="56" t="str">
        <f t="shared" si="36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IF($AA410="","",IF($B410="I",VLOOKUP($AA410,#REF!,53,0),INDEX(VALUES!$B$1:$BQ$1,1,$AA410)))</f>
        <v/>
      </c>
    </row>
    <row r="411" spans="1:29" hidden="1" outlineLevel="1" x14ac:dyDescent="0.3">
      <c r="A411" s="22" t="s">
        <v>84</v>
      </c>
      <c r="B411" s="41" t="str">
        <f t="shared" si="35"/>
        <v/>
      </c>
      <c r="C411" s="42">
        <f t="shared" si="37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24</v>
      </c>
      <c r="L411" s="14" t="s">
        <v>27</v>
      </c>
      <c r="M411" s="20" t="s">
        <v>1008</v>
      </c>
      <c r="N411" s="14" t="s">
        <v>1009</v>
      </c>
      <c r="O411" s="43">
        <v>0</v>
      </c>
      <c r="R411" s="38" t="s">
        <v>104</v>
      </c>
      <c r="S411" s="38"/>
      <c r="T411" s="38"/>
      <c r="W411" s="15" t="str">
        <f>IF(IFERROR(VLOOKUP($M411,#REF!,1,0),"-")="-","","GS")</f>
        <v/>
      </c>
      <c r="Z411" s="59" t="str">
        <f>IF(OR($M411="",NOT($O411="{array}")),"",IFERROR(MATCH(PARAMETERS!$M411,DEFAULT!$B$5:$CI$5,0),""))</f>
        <v/>
      </c>
      <c r="AA411" s="56" t="str">
        <f t="shared" si="36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IF($AA411="","",IF($B411="I",VLOOKUP($AA411,#REF!,53,0),INDEX(VALUES!$B$1:$BQ$1,1,$AA411)))</f>
        <v/>
      </c>
    </row>
    <row r="412" spans="1:29" hidden="1" outlineLevel="1" x14ac:dyDescent="0.3">
      <c r="A412" s="22" t="s">
        <v>84</v>
      </c>
      <c r="B412" s="41" t="str">
        <f t="shared" si="35"/>
        <v/>
      </c>
      <c r="C412" s="42">
        <f t="shared" si="37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24</v>
      </c>
      <c r="L412" s="14" t="s">
        <v>27</v>
      </c>
      <c r="M412" s="20" t="s">
        <v>1010</v>
      </c>
      <c r="N412" s="14" t="s">
        <v>1011</v>
      </c>
      <c r="O412" s="43">
        <v>0.4</v>
      </c>
      <c r="R412" s="38" t="s">
        <v>104</v>
      </c>
      <c r="S412" s="38"/>
      <c r="T412" s="38"/>
      <c r="W412" s="15" t="str">
        <f>IF(IFERROR(VLOOKUP($M412,#REF!,1,0),"-")="-","","GS")</f>
        <v/>
      </c>
      <c r="Z412" s="59" t="str">
        <f>IF(OR($M412="",NOT($O412="{array}")),"",IFERROR(MATCH(PARAMETERS!$M412,DEFAULT!$B$5:$CI$5,0),""))</f>
        <v/>
      </c>
      <c r="AA412" s="56" t="str">
        <f t="shared" si="36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IF($AA412="","",IF($B412="I",VLOOKUP($AA412,#REF!,53,0),INDEX(VALUES!$B$1:$BQ$1,1,$AA412)))</f>
        <v/>
      </c>
    </row>
    <row r="413" spans="1:29" hidden="1" outlineLevel="1" x14ac:dyDescent="0.3">
      <c r="A413" s="22" t="s">
        <v>84</v>
      </c>
      <c r="B413" s="41" t="str">
        <f t="shared" si="35"/>
        <v/>
      </c>
      <c r="C413" s="42">
        <f t="shared" si="37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36</v>
      </c>
      <c r="L413" s="14" t="s">
        <v>27</v>
      </c>
      <c r="M413" s="20" t="s">
        <v>1012</v>
      </c>
      <c r="N413" s="14" t="s">
        <v>1013</v>
      </c>
      <c r="O413" s="43">
        <v>0</v>
      </c>
      <c r="R413" s="38" t="s">
        <v>104</v>
      </c>
      <c r="S413" s="38"/>
      <c r="T413" s="38"/>
      <c r="W413" s="15" t="str">
        <f>IF(IFERROR(VLOOKUP($M413,#REF!,1,0),"-")="-","","GS")</f>
        <v/>
      </c>
      <c r="Z413" s="59" t="str">
        <f>IF(OR($M413="",NOT($O413="{array}")),"",IFERROR(MATCH(PARAMETERS!$M413,DEFAULT!$B$5:$CI$5,0),""))</f>
        <v/>
      </c>
      <c r="AA413" s="56" t="str">
        <f t="shared" si="36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IF($AA413="","",IF($B413="I",VLOOKUP($AA413,#REF!,53,0),INDEX(VALUES!$B$1:$BQ$1,1,$AA413)))</f>
        <v/>
      </c>
    </row>
    <row r="414" spans="1:29" hidden="1" outlineLevel="1" x14ac:dyDescent="0.3">
      <c r="A414" s="22" t="s">
        <v>84</v>
      </c>
      <c r="B414" s="41" t="str">
        <f t="shared" si="35"/>
        <v/>
      </c>
      <c r="C414" s="42">
        <f t="shared" si="37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36</v>
      </c>
      <c r="L414" s="14" t="s">
        <v>27</v>
      </c>
      <c r="M414" s="20" t="s">
        <v>1014</v>
      </c>
      <c r="N414" s="14" t="s">
        <v>1015</v>
      </c>
      <c r="O414" s="43">
        <v>8</v>
      </c>
      <c r="R414" s="38" t="s">
        <v>104</v>
      </c>
      <c r="S414" s="38"/>
      <c r="T414" s="38"/>
      <c r="W414" s="15" t="str">
        <f>IF(IFERROR(VLOOKUP($M414,#REF!,1,0),"-")="-","","GS")</f>
        <v/>
      </c>
      <c r="Z414" s="59" t="str">
        <f>IF(OR($M414="",NOT($O414="{array}")),"",IFERROR(MATCH(PARAMETERS!$M414,DEFAULT!$B$5:$CI$5,0),""))</f>
        <v/>
      </c>
      <c r="AA414" s="56" t="str">
        <f t="shared" si="36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IF($AA414="","",IF($B414="I",VLOOKUP($AA414,#REF!,53,0),INDEX(VALUES!$B$1:$BQ$1,1,$AA414)))</f>
        <v/>
      </c>
    </row>
    <row r="415" spans="1:29" hidden="1" outlineLevel="1" x14ac:dyDescent="0.3">
      <c r="A415" s="22" t="s">
        <v>84</v>
      </c>
      <c r="B415" s="41" t="str">
        <f t="shared" si="35"/>
        <v/>
      </c>
      <c r="C415" s="42">
        <f t="shared" si="37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1016</v>
      </c>
      <c r="N415" s="14" t="s">
        <v>961</v>
      </c>
      <c r="O415" s="43" t="s">
        <v>962</v>
      </c>
      <c r="R415" s="38" t="s">
        <v>104</v>
      </c>
      <c r="S415" s="38"/>
      <c r="T415" s="38"/>
      <c r="W415" s="15" t="str">
        <f>IF(IFERROR(VLOOKUP($M415,#REF!,1,0),"-")="-","","GS")</f>
        <v/>
      </c>
      <c r="Z415" s="59" t="str">
        <f>IF(OR($M415="",NOT($O415="{array}")),"",IFERROR(MATCH(PARAMETERS!$M415,DEFAULT!$B$5:$CI$5,0),""))</f>
        <v/>
      </c>
      <c r="AA415" s="56" t="str">
        <f t="shared" si="36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IF($AA415="","",IF($B415="I",VLOOKUP($AA415,#REF!,53,0),INDEX(VALUES!$B$1:$BQ$1,1,$AA415)))</f>
        <v/>
      </c>
    </row>
    <row r="416" spans="1:29" hidden="1" outlineLevel="1" x14ac:dyDescent="0.3">
      <c r="A416" s="22" t="s">
        <v>84</v>
      </c>
      <c r="B416" s="41" t="str">
        <f t="shared" si="35"/>
        <v/>
      </c>
      <c r="C416" s="42">
        <f t="shared" si="37"/>
        <v>415</v>
      </c>
      <c r="D416" s="38"/>
      <c r="E416" s="38"/>
      <c r="F416" s="38" t="s">
        <v>9</v>
      </c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1017</v>
      </c>
      <c r="N416" s="14" t="s">
        <v>964</v>
      </c>
      <c r="O416" s="43">
        <v>2</v>
      </c>
      <c r="R416" s="38" t="s">
        <v>104</v>
      </c>
      <c r="S416" s="38"/>
      <c r="T416" s="38"/>
      <c r="W416" s="15" t="str">
        <f>IF(IFERROR(VLOOKUP($M416,#REF!,1,0),"-")="-","","GS")</f>
        <v/>
      </c>
      <c r="Z416" s="59" t="str">
        <f>IF(OR($M416="",NOT($O416="{array}")),"",IFERROR(MATCH(PARAMETERS!$M416,DEFAULT!$B$5:$CI$5,0),""))</f>
        <v/>
      </c>
      <c r="AA416" s="56" t="str">
        <f t="shared" si="36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IF($AA416="","",IF($B416="I",VLOOKUP($AA416,#REF!,53,0),INDEX(VALUES!$B$1:$BQ$1,1,$AA416)))</f>
        <v/>
      </c>
    </row>
    <row r="417" spans="1:29" hidden="1" outlineLevel="1" x14ac:dyDescent="0.3">
      <c r="A417" s="22" t="s">
        <v>84</v>
      </c>
      <c r="B417" s="41" t="str">
        <f t="shared" si="35"/>
        <v/>
      </c>
      <c r="C417" s="42">
        <f t="shared" si="37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36</v>
      </c>
      <c r="L417" s="14" t="s">
        <v>27</v>
      </c>
      <c r="M417" s="20" t="s">
        <v>1018</v>
      </c>
      <c r="N417" s="14" t="s">
        <v>970</v>
      </c>
      <c r="O417" s="43">
        <v>2</v>
      </c>
      <c r="R417" s="38" t="s">
        <v>104</v>
      </c>
      <c r="S417" s="38"/>
      <c r="T417" s="38"/>
      <c r="W417" s="15" t="str">
        <f>IF(IFERROR(VLOOKUP($M417,#REF!,1,0),"-")="-","","GS")</f>
        <v/>
      </c>
      <c r="Z417" s="59" t="str">
        <f>IF(OR($M417="",NOT($O417="{array}")),"",IFERROR(MATCH(PARAMETERS!$M417,DEFAULT!$B$5:$CI$5,0),""))</f>
        <v/>
      </c>
      <c r="AA417" s="56" t="str">
        <f t="shared" si="36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IF($AA417="","",IF($B417="I",VLOOKUP($AA417,#REF!,53,0),INDEX(VALUES!$B$1:$BQ$1,1,$AA417)))</f>
        <v/>
      </c>
    </row>
    <row r="418" spans="1:29" hidden="1" outlineLevel="1" x14ac:dyDescent="0.3">
      <c r="A418" s="22" t="s">
        <v>84</v>
      </c>
      <c r="B418" s="41" t="str">
        <f t="shared" si="35"/>
        <v/>
      </c>
      <c r="C418" s="42">
        <f t="shared" si="37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24</v>
      </c>
      <c r="L418" s="14" t="s">
        <v>27</v>
      </c>
      <c r="M418" s="20" t="s">
        <v>1019</v>
      </c>
      <c r="N418" s="14" t="s">
        <v>968</v>
      </c>
      <c r="O418" s="43">
        <v>0.1</v>
      </c>
      <c r="R418" s="38" t="s">
        <v>104</v>
      </c>
      <c r="S418" s="38"/>
      <c r="T418" s="38"/>
      <c r="W418" s="15" t="str">
        <f>IF(IFERROR(VLOOKUP($M418,#REF!,1,0),"-")="-","","GS")</f>
        <v/>
      </c>
      <c r="Z418" s="59" t="str">
        <f>IF(OR($M418="",NOT($O418="{array}")),"",IFERROR(MATCH(PARAMETERS!$M418,DEFAULT!$B$5:$CI$5,0),""))</f>
        <v/>
      </c>
      <c r="AA418" s="56" t="str">
        <f t="shared" si="36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IF($AA418="","",IF($B418="I",VLOOKUP($AA418,#REF!,53,0),INDEX(VALUES!$B$1:$BQ$1,1,$AA418)))</f>
        <v/>
      </c>
    </row>
    <row r="419" spans="1:29" hidden="1" outlineLevel="1" x14ac:dyDescent="0.3">
      <c r="A419" s="22" t="s">
        <v>84</v>
      </c>
      <c r="B419" s="41" t="str">
        <f t="shared" si="35"/>
        <v/>
      </c>
      <c r="C419" s="42">
        <f t="shared" si="37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27</v>
      </c>
      <c r="M419" s="20" t="s">
        <v>1020</v>
      </c>
      <c r="N419" s="14" t="s">
        <v>966</v>
      </c>
      <c r="O419" s="43" t="s">
        <v>800</v>
      </c>
      <c r="R419" s="38" t="s">
        <v>104</v>
      </c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IF(OR($M419="",NOT($O419="{array}")),"",IFERROR(MATCH(PARAMETERS!$M419,DEFAULT!$B$5:$CI$5,0),""))</f>
        <v/>
      </c>
      <c r="AA419" s="56" t="str">
        <f t="shared" si="36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IF($AA419="","",IF($B419="I",VLOOKUP($AA419,#REF!,53,0),INDEX(VALUES!$B$1:$BQ$1,1,$AA419)))</f>
        <v/>
      </c>
    </row>
    <row r="420" spans="1:29" hidden="1" outlineLevel="1" x14ac:dyDescent="0.3">
      <c r="A420" s="22" t="s">
        <v>84</v>
      </c>
      <c r="B420" s="41" t="str">
        <f t="shared" si="35"/>
        <v/>
      </c>
      <c r="C420" s="42">
        <f t="shared" si="37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53</v>
      </c>
      <c r="L420" s="14" t="s">
        <v>27</v>
      </c>
      <c r="M420" s="20" t="s">
        <v>1021</v>
      </c>
      <c r="N420" s="14" t="s">
        <v>1022</v>
      </c>
      <c r="O420" s="43">
        <v>1</v>
      </c>
      <c r="R420" s="38" t="s">
        <v>104</v>
      </c>
      <c r="S420" s="38"/>
      <c r="T420" s="38"/>
      <c r="W420" s="15" t="str">
        <f>IF(IFERROR(VLOOKUP($M420,#REF!,1,0),"-")="-","","GS")</f>
        <v/>
      </c>
      <c r="Z420" s="59" t="str">
        <f>IF(OR($M420="",NOT($O420="{array}")),"",IFERROR(MATCH(PARAMETERS!$M420,DEFAULT!$B$5:$CI$5,0),""))</f>
        <v/>
      </c>
      <c r="AA420" s="56" t="str">
        <f t="shared" si="36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IF($AA420="","",IF($B420="I",VLOOKUP($AA420,#REF!,53,0),INDEX(VALUES!$B$1:$BQ$1,1,$AA420)))</f>
        <v/>
      </c>
    </row>
    <row r="421" spans="1:29" hidden="1" outlineLevel="1" x14ac:dyDescent="0.3">
      <c r="A421" s="22" t="s">
        <v>84</v>
      </c>
      <c r="B421" s="41" t="str">
        <f t="shared" si="35"/>
        <v/>
      </c>
      <c r="C421" s="42">
        <f t="shared" si="37"/>
        <v>420</v>
      </c>
      <c r="D421" s="38"/>
      <c r="E421" s="38"/>
      <c r="F421" s="38" t="s">
        <v>9</v>
      </c>
      <c r="G421" s="38"/>
      <c r="H421" s="38" t="s">
        <v>9</v>
      </c>
      <c r="I421" s="38"/>
      <c r="J421" s="38"/>
      <c r="K421" s="14" t="s">
        <v>47</v>
      </c>
      <c r="L421" s="14" t="s">
        <v>27</v>
      </c>
      <c r="M421" s="20" t="s">
        <v>1023</v>
      </c>
      <c r="N421" s="14" t="s">
        <v>1024</v>
      </c>
      <c r="O421" s="43">
        <v>1</v>
      </c>
      <c r="R421" s="38" t="s">
        <v>104</v>
      </c>
      <c r="S421" s="38"/>
      <c r="T421" s="38"/>
      <c r="W421" s="15" t="str">
        <f>IF(IFERROR(VLOOKUP($M421,#REF!,1,0),"-")="-","","GS")</f>
        <v/>
      </c>
      <c r="Z421" s="59" t="str">
        <f>IF(OR($M421="",NOT($O421="{array}")),"",IFERROR(MATCH(PARAMETERS!$M421,DEFAULT!$B$5:$CI$5,0),""))</f>
        <v/>
      </c>
      <c r="AA421" s="56" t="str">
        <f t="shared" si="36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IF($AA421="","",IF($B421="I",VLOOKUP($AA421,#REF!,53,0),INDEX(VALUES!$B$1:$BQ$1,1,$AA421)))</f>
        <v/>
      </c>
    </row>
    <row r="422" spans="1:29" hidden="1" outlineLevel="1" x14ac:dyDescent="0.3">
      <c r="A422" s="22" t="s">
        <v>84</v>
      </c>
      <c r="B422" s="41" t="str">
        <f t="shared" si="35"/>
        <v/>
      </c>
      <c r="C422" s="42">
        <f t="shared" si="37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51</v>
      </c>
      <c r="L422" s="14" t="s">
        <v>27</v>
      </c>
      <c r="M422" s="20" t="s">
        <v>1025</v>
      </c>
      <c r="N422" s="14" t="s">
        <v>1026</v>
      </c>
      <c r="O422" s="43">
        <v>21</v>
      </c>
      <c r="R422" s="38" t="s">
        <v>104</v>
      </c>
      <c r="S422" s="38"/>
      <c r="T422" s="38"/>
      <c r="W422" s="15" t="str">
        <f>IF(IFERROR(VLOOKUP($M422,#REF!,1,0),"-")="-","","GS")</f>
        <v/>
      </c>
      <c r="Z422" s="59" t="str">
        <f>IF(OR($M422="",NOT($O422="{array}")),"",IFERROR(MATCH(PARAMETERS!$M422,DEFAULT!$B$5:$CI$5,0),""))</f>
        <v/>
      </c>
      <c r="AA422" s="56" t="str">
        <f t="shared" si="36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IF($AA422="","",IF($B422="I",VLOOKUP($AA422,#REF!,53,0),INDEX(VALUES!$B$1:$BQ$1,1,$AA422)))</f>
        <v/>
      </c>
    </row>
    <row r="423" spans="1:29" hidden="1" outlineLevel="1" x14ac:dyDescent="0.3">
      <c r="A423" s="22" t="s">
        <v>84</v>
      </c>
      <c r="B423" s="41" t="str">
        <f t="shared" si="35"/>
        <v/>
      </c>
      <c r="C423" s="42">
        <f t="shared" si="37"/>
        <v>422</v>
      </c>
      <c r="D423" s="38"/>
      <c r="E423" s="38"/>
      <c r="F423" s="38" t="s">
        <v>9</v>
      </c>
      <c r="G423" s="38"/>
      <c r="H423" s="38"/>
      <c r="I423" s="38" t="s">
        <v>9</v>
      </c>
      <c r="J423" s="38"/>
      <c r="K423" s="14" t="s">
        <v>53</v>
      </c>
      <c r="L423" s="14" t="s">
        <v>27</v>
      </c>
      <c r="M423" s="20" t="s">
        <v>1027</v>
      </c>
      <c r="N423" s="14" t="s">
        <v>1028</v>
      </c>
      <c r="O423" s="43">
        <v>6</v>
      </c>
      <c r="R423" s="38" t="s">
        <v>104</v>
      </c>
      <c r="S423" s="38"/>
      <c r="T423" s="38"/>
      <c r="W423" s="15" t="str">
        <f>IF(IFERROR(VLOOKUP($M423,#REF!,1,0),"-")="-","","GS")</f>
        <v/>
      </c>
      <c r="Z423" s="59" t="str">
        <f>IF(OR($M423="",NOT($O423="{array}")),"",IFERROR(MATCH(PARAMETERS!$M423,DEFAULT!$B$5:$CI$5,0),""))</f>
        <v/>
      </c>
      <c r="AA423" s="56" t="str">
        <f t="shared" si="36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IF($AA423="","",IF($B423="I",VLOOKUP($AA423,#REF!,53,0),INDEX(VALUES!$B$1:$BQ$1,1,$AA423)))</f>
        <v/>
      </c>
    </row>
    <row r="424" spans="1:29" collapsed="1" x14ac:dyDescent="0.3">
      <c r="A424" s="22" t="s">
        <v>84</v>
      </c>
      <c r="B424" s="41" t="str">
        <f t="shared" si="35"/>
        <v/>
      </c>
      <c r="C424" s="42">
        <f t="shared" si="37"/>
        <v>423</v>
      </c>
      <c r="D424" s="38"/>
      <c r="E424" s="38"/>
      <c r="F424" s="38" t="s">
        <v>9</v>
      </c>
      <c r="G424" s="38" t="s">
        <v>9</v>
      </c>
      <c r="H424" s="38"/>
      <c r="I424" s="38"/>
      <c r="J424" s="38"/>
      <c r="K424" s="14" t="s">
        <v>57</v>
      </c>
      <c r="L424" s="14" t="s">
        <v>38</v>
      </c>
      <c r="M424" s="48" t="s">
        <v>1029</v>
      </c>
      <c r="N424" s="41" t="s">
        <v>190</v>
      </c>
      <c r="R424" s="38" t="s">
        <v>104</v>
      </c>
      <c r="S424" s="38"/>
      <c r="T424" s="38"/>
      <c r="W424" s="15" t="str">
        <f>IF(IFERROR(VLOOKUP($M424,#REF!,1,0),"-")="-","","GS")</f>
        <v/>
      </c>
      <c r="Z424" s="59" t="str">
        <f>IF(OR($M424="",NOT($O424="{array}")),"",IFERROR(MATCH(PARAMETERS!$M424,DEFAULT!$B$5:$CI$5,0),""))</f>
        <v/>
      </c>
      <c r="AA424" s="56" t="str">
        <f t="shared" si="36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IF($AA424="","",IF($B424="I",VLOOKUP($AA424,#REF!,53,0),INDEX(VALUES!$B$1:$BQ$1,1,$AA424)))</f>
        <v/>
      </c>
    </row>
    <row r="425" spans="1:29" hidden="1" outlineLevel="1" x14ac:dyDescent="0.3">
      <c r="A425" s="22"/>
      <c r="B425" s="41" t="str">
        <f t="shared" ref="B425:B434" si="38">IF($A425="P",IF(NOT($Z425=""),"A",IF(NOT($AA425=""),"I","")),IF(NOT($AA425=""),IF($A425="G","V","X"),IF(NOT($Z425=""),"A","")))</f>
        <v/>
      </c>
      <c r="C425" s="42">
        <f t="shared" ref="C425:C434" si="39">(ROW()-1)</f>
        <v>424</v>
      </c>
      <c r="D425" s="38"/>
      <c r="E425" s="38"/>
      <c r="F425" s="38" t="s">
        <v>9</v>
      </c>
      <c r="G425" s="38"/>
      <c r="H425" s="38"/>
      <c r="I425" s="38"/>
      <c r="J425" s="38"/>
      <c r="K425" s="14" t="s">
        <v>57</v>
      </c>
      <c r="L425" s="14" t="s">
        <v>38</v>
      </c>
      <c r="M425" s="48" t="s">
        <v>204</v>
      </c>
      <c r="N425" s="41" t="s">
        <v>205</v>
      </c>
      <c r="R425" s="38" t="s">
        <v>104</v>
      </c>
      <c r="S425" s="38"/>
      <c r="T425" s="38"/>
      <c r="W425" s="15" t="str">
        <f>IF(IFERROR(VLOOKUP($M425,#REF!,1,0),"-")="-","","GS")</f>
        <v/>
      </c>
      <c r="Z425" s="59" t="str">
        <f>IF(OR($M425="",NOT($O425="{array}")),"",IFERROR(MATCH(PARAMETERS!$M425,DEFAULT!$B$5:$CI$5,0),""))</f>
        <v/>
      </c>
      <c r="AA425" s="56" t="str">
        <f t="shared" ref="AA425:AA467" si="40">IF($M425="","",IFERROR(MATCH($M425,VALUESnames,0),""))</f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IF($AA425="","",IF($B425="I",VLOOKUP($AA425,#REF!,53,0),INDEX(VALUES!$B$1:$BQ$1,1,$AA425)))</f>
        <v/>
      </c>
    </row>
    <row r="426" spans="1:29" hidden="1" outlineLevel="1" x14ac:dyDescent="0.3">
      <c r="A426" s="22" t="s">
        <v>84</v>
      </c>
      <c r="B426" s="41" t="str">
        <f t="shared" si="38"/>
        <v>A</v>
      </c>
      <c r="C426" s="42">
        <f t="shared" si="39"/>
        <v>425</v>
      </c>
      <c r="D426" s="38"/>
      <c r="E426" s="38"/>
      <c r="F426" s="38"/>
      <c r="G426" s="38"/>
      <c r="H426" s="38"/>
      <c r="I426" s="38" t="s">
        <v>9</v>
      </c>
      <c r="J426" s="38"/>
      <c r="K426" s="14" t="s">
        <v>50</v>
      </c>
      <c r="L426" s="14" t="s">
        <v>27</v>
      </c>
      <c r="M426" s="151" t="s">
        <v>206</v>
      </c>
      <c r="N426" s="14" t="s">
        <v>207</v>
      </c>
      <c r="O426" s="43" t="s">
        <v>33</v>
      </c>
      <c r="R426" s="38" t="s">
        <v>195</v>
      </c>
      <c r="S426" s="38"/>
      <c r="T426" s="38"/>
      <c r="W426" s="15" t="str">
        <f>IF(IFERROR(VLOOKUP($M426,#REF!,1,0),"-")="-","","GS")</f>
        <v/>
      </c>
      <c r="Z426" s="59">
        <f>IF(OR($M426="",NOT($O426="{array}")),"",IFERROR(MATCH(PARAMETERS!$M426,DEFAULT!$B$5:$CI$5,0),""))</f>
        <v>85</v>
      </c>
      <c r="AA426" s="56" t="str">
        <f t="shared" si="40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IF($AA426="","",IF($B426="I",VLOOKUP($AA426,#REF!,53,0),INDEX(VALUES!$B$1:$BQ$1,1,$AA426)))</f>
        <v/>
      </c>
    </row>
    <row r="427" spans="1:29" hidden="1" outlineLevel="1" x14ac:dyDescent="0.3">
      <c r="A427" s="22" t="s">
        <v>84</v>
      </c>
      <c r="B427" s="41" t="str">
        <f t="shared" si="38"/>
        <v/>
      </c>
      <c r="C427" s="42">
        <f t="shared" si="39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50</v>
      </c>
      <c r="L427" s="14" t="s">
        <v>27</v>
      </c>
      <c r="M427" s="20" t="s">
        <v>720</v>
      </c>
      <c r="N427" s="14" t="s">
        <v>721</v>
      </c>
      <c r="O427" s="43">
        <v>133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IF(OR($M427="",NOT($O427="{array}")),"",IFERROR(MATCH(PARAMETERS!$M427,DEFAULT!$B$5:$CI$5,0),""))</f>
        <v/>
      </c>
      <c r="AA427" s="56" t="str">
        <f t="shared" si="40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IF($AA427="","",IF($B427="I",VLOOKUP($AA427,#REF!,53,0),INDEX(VALUES!$B$1:$BQ$1,1,$AA427)))</f>
        <v/>
      </c>
    </row>
    <row r="428" spans="1:29" hidden="1" outlineLevel="1" x14ac:dyDescent="0.3">
      <c r="A428" s="22" t="s">
        <v>84</v>
      </c>
      <c r="B428" s="41" t="str">
        <f t="shared" si="38"/>
        <v/>
      </c>
      <c r="C428" s="42">
        <f t="shared" si="39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50</v>
      </c>
      <c r="L428" s="14" t="s">
        <v>27</v>
      </c>
      <c r="M428" s="20" t="s">
        <v>722</v>
      </c>
      <c r="N428" s="14" t="s">
        <v>723</v>
      </c>
      <c r="O428" s="43">
        <v>24</v>
      </c>
      <c r="R428" s="38" t="s">
        <v>104</v>
      </c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IF(OR($M428="",NOT($O428="{array}")),"",IFERROR(MATCH(PARAMETERS!$M428,DEFAULT!$B$5:$CI$5,0),""))</f>
        <v/>
      </c>
      <c r="AA428" s="56" t="str">
        <f t="shared" si="40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IF($AA428="","",IF($B428="I",VLOOKUP($AA428,#REF!,53,0),INDEX(VALUES!$B$1:$BQ$1,1,$AA428)))</f>
        <v/>
      </c>
    </row>
    <row r="429" spans="1:29" hidden="1" outlineLevel="1" x14ac:dyDescent="0.3">
      <c r="A429" s="22" t="s">
        <v>84</v>
      </c>
      <c r="B429" s="41" t="str">
        <f t="shared" si="38"/>
        <v/>
      </c>
      <c r="C429" s="42">
        <f t="shared" si="39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50</v>
      </c>
      <c r="L429" s="14" t="s">
        <v>27</v>
      </c>
      <c r="M429" s="20" t="s">
        <v>724</v>
      </c>
      <c r="N429" s="14" t="s">
        <v>725</v>
      </c>
      <c r="O429" s="43">
        <v>40</v>
      </c>
      <c r="R429" s="38" t="s">
        <v>104</v>
      </c>
      <c r="S429" s="38"/>
      <c r="T429" s="38"/>
      <c r="W429" s="15" t="str">
        <f>IF(IFERROR(VLOOKUP($M429,#REF!,1,0),"-")="-","","GS")</f>
        <v/>
      </c>
      <c r="Z429" s="59" t="str">
        <f>IF(OR($M429="",NOT($O429="{array}")),"",IFERROR(MATCH(PARAMETERS!$M429,DEFAULT!$B$5:$CI$5,0),""))</f>
        <v/>
      </c>
      <c r="AA429" s="56" t="str">
        <f t="shared" si="40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IF($AA429="","",IF($B429="I",VLOOKUP($AA429,#REF!,53,0),INDEX(VALUES!$B$1:$BQ$1,1,$AA429)))</f>
        <v/>
      </c>
    </row>
    <row r="430" spans="1:29" hidden="1" outlineLevel="1" x14ac:dyDescent="0.3">
      <c r="A430" s="22" t="s">
        <v>84</v>
      </c>
      <c r="B430" s="41" t="str">
        <f t="shared" si="38"/>
        <v/>
      </c>
      <c r="C430" s="42">
        <f t="shared" si="39"/>
        <v>429</v>
      </c>
      <c r="D430" s="38"/>
      <c r="E430" s="38"/>
      <c r="F430" s="38" t="s">
        <v>9</v>
      </c>
      <c r="G430" s="38"/>
      <c r="H430" s="38"/>
      <c r="I430" s="38" t="s">
        <v>9</v>
      </c>
      <c r="J430" s="38"/>
      <c r="K430" s="14" t="s">
        <v>50</v>
      </c>
      <c r="L430" s="14" t="s">
        <v>27</v>
      </c>
      <c r="M430" s="20" t="s">
        <v>726</v>
      </c>
      <c r="N430" s="14" t="s">
        <v>727</v>
      </c>
      <c r="O430" s="43">
        <v>133</v>
      </c>
      <c r="R430" s="38" t="s">
        <v>104</v>
      </c>
      <c r="S430" s="38"/>
      <c r="T430" s="38"/>
      <c r="W430" s="15" t="str">
        <f>IF(IFERROR(VLOOKUP($M430,#REF!,1,0),"-")="-","","GS")</f>
        <v/>
      </c>
      <c r="Z430" s="59" t="str">
        <f>IF(OR($M430="",NOT($O430="{array}")),"",IFERROR(MATCH(PARAMETERS!$M430,DEFAULT!$B$5:$CI$5,0),""))</f>
        <v/>
      </c>
      <c r="AA430" s="56" t="str">
        <f t="shared" si="40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IF($AA430="","",IF($B430="I",VLOOKUP($AA430,#REF!,53,0),INDEX(VALUES!$B$1:$BQ$1,1,$AA430)))</f>
        <v/>
      </c>
    </row>
    <row r="431" spans="1:29" hidden="1" outlineLevel="1" x14ac:dyDescent="0.3">
      <c r="A431" s="22" t="s">
        <v>84</v>
      </c>
      <c r="B431" s="41" t="str">
        <f t="shared" si="38"/>
        <v/>
      </c>
      <c r="C431" s="42">
        <f t="shared" si="39"/>
        <v>430</v>
      </c>
      <c r="D431" s="38"/>
      <c r="E431" s="38"/>
      <c r="F431" s="38"/>
      <c r="G431" s="38"/>
      <c r="H431" s="38"/>
      <c r="I431" s="38" t="s">
        <v>9</v>
      </c>
      <c r="J431" s="38"/>
      <c r="K431" s="14" t="s">
        <v>47</v>
      </c>
      <c r="L431" s="14" t="s">
        <v>27</v>
      </c>
      <c r="M431" s="20" t="s">
        <v>728</v>
      </c>
      <c r="N431" s="14" t="s">
        <v>729</v>
      </c>
      <c r="O431" s="43">
        <v>1</v>
      </c>
      <c r="R431" s="38" t="s">
        <v>104</v>
      </c>
      <c r="S431" s="38"/>
      <c r="T431" s="38"/>
      <c r="W431" s="15" t="str">
        <f>IF(IFERROR(VLOOKUP($M431,#REF!,1,0),"-")="-","","GS")</f>
        <v/>
      </c>
      <c r="Z431" s="59" t="str">
        <f>IF(OR($M431="",NOT($O431="{array}")),"",IFERROR(MATCH(PARAMETERS!$M431,DEFAULT!$B$5:$CI$5,0),""))</f>
        <v/>
      </c>
      <c r="AA431" s="56" t="str">
        <f t="shared" si="40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IF($AA431="","",IF($B431="I",VLOOKUP($AA431,#REF!,53,0),INDEX(VALUES!$B$1:$BQ$1,1,$AA431)))</f>
        <v/>
      </c>
    </row>
    <row r="432" spans="1:29" hidden="1" outlineLevel="1" x14ac:dyDescent="0.3">
      <c r="A432" s="22"/>
      <c r="B432" s="41" t="str">
        <f t="shared" si="38"/>
        <v>A</v>
      </c>
      <c r="C432" s="42">
        <f t="shared" si="39"/>
        <v>431</v>
      </c>
      <c r="D432" s="38"/>
      <c r="E432" s="38"/>
      <c r="F432" s="38"/>
      <c r="G432" s="38" t="s">
        <v>9</v>
      </c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730</v>
      </c>
      <c r="O432" s="43" t="s">
        <v>33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>
        <f>IF(OR($M432="",NOT($O432="{array}")),"",IFERROR(MATCH(PARAMETERS!$M432,DEFAULT!$B$5:$CI$5,0),""))</f>
        <v>74</v>
      </c>
      <c r="AA432" s="56" t="str">
        <f t="shared" si="40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IF($AA432="","",IF($B432="I",VLOOKUP($AA432,#REF!,53,0),INDEX(VALUES!$B$1:$BQ$1,1,$AA432)))</f>
        <v/>
      </c>
    </row>
    <row r="433" spans="1:29" hidden="1" outlineLevel="1" x14ac:dyDescent="0.3">
      <c r="A433" s="22" t="s">
        <v>84</v>
      </c>
      <c r="B433" s="41" t="str">
        <f t="shared" si="38"/>
        <v/>
      </c>
      <c r="C433" s="42">
        <f t="shared" si="39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50</v>
      </c>
      <c r="L433" s="14" t="s">
        <v>27</v>
      </c>
      <c r="M433" s="20" t="s">
        <v>731</v>
      </c>
      <c r="N433" s="14" t="s">
        <v>732</v>
      </c>
      <c r="O433" s="43">
        <v>133</v>
      </c>
      <c r="R433" s="38" t="s">
        <v>104</v>
      </c>
      <c r="S433" s="38"/>
      <c r="T433" s="38"/>
      <c r="W433" s="15" t="str">
        <f>IF(IFERROR(VLOOKUP($M433,#REF!,1,0),"-")="-","","GS")</f>
        <v/>
      </c>
      <c r="Z433" s="59" t="str">
        <f>IF(OR($M433="",NOT($O433="{array}")),"",IFERROR(MATCH(PARAMETERS!$M433,DEFAULT!$B$5:$CI$5,0),""))</f>
        <v/>
      </c>
      <c r="AA433" s="56" t="str">
        <f t="shared" si="40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IF($AA433="","",IF($B433="I",VLOOKUP($AA433,#REF!,53,0),INDEX(VALUES!$B$1:$BQ$1,1,$AA433)))</f>
        <v/>
      </c>
    </row>
    <row r="434" spans="1:29" hidden="1" outlineLevel="1" x14ac:dyDescent="0.3">
      <c r="A434" s="22" t="s">
        <v>84</v>
      </c>
      <c r="B434" s="41" t="str">
        <f t="shared" si="38"/>
        <v/>
      </c>
      <c r="C434" s="42">
        <f t="shared" si="39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50</v>
      </c>
      <c r="L434" s="14" t="s">
        <v>27</v>
      </c>
      <c r="M434" s="20" t="s">
        <v>733</v>
      </c>
      <c r="N434" s="14" t="s">
        <v>734</v>
      </c>
      <c r="O434" s="43">
        <v>133</v>
      </c>
      <c r="R434" s="38" t="s">
        <v>104</v>
      </c>
      <c r="S434" s="38"/>
      <c r="T434" s="38"/>
      <c r="W434" s="15" t="str">
        <f>IF(IFERROR(VLOOKUP($M434,#REF!,1,0),"-")="-","","GS")</f>
        <v/>
      </c>
      <c r="Z434" s="59" t="str">
        <f>IF(OR($M434="",NOT($O434="{array}")),"",IFERROR(MATCH(PARAMETERS!$M434,DEFAULT!$B$5:$CI$5,0),""))</f>
        <v/>
      </c>
      <c r="AA434" s="56" t="str">
        <f t="shared" si="40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IF($AA434="","",IF($B434="I",VLOOKUP($AA434,#REF!,53,0),INDEX(VALUES!$B$1:$BQ$1,1,$AA434)))</f>
        <v/>
      </c>
    </row>
    <row r="435" spans="1:29" collapsed="1" x14ac:dyDescent="0.3">
      <c r="A435" s="22" t="s">
        <v>208</v>
      </c>
      <c r="B435" s="41"/>
      <c r="C435" s="42"/>
      <c r="D435" s="38"/>
      <c r="E435" s="38"/>
      <c r="F435" s="38"/>
      <c r="G435" s="38"/>
      <c r="H435" s="38"/>
      <c r="I435" s="38"/>
      <c r="J435" s="38"/>
      <c r="L435" s="152"/>
      <c r="M435" s="14"/>
      <c r="R435" s="38"/>
      <c r="S435" s="38"/>
      <c r="T435" s="38"/>
      <c r="W435" s="15" t="str">
        <f>IF(IFERROR(VLOOKUP($M435,#REF!,1,0),"-")="-","","GS")</f>
        <v/>
      </c>
      <c r="Z435" s="59" t="str">
        <f>IF(OR($M435="",NOT($O435="{array}")),"",IFERROR(MATCH(PARAMETERS!$M435,DEFAULT!$B$5:$CI$5,0),""))</f>
        <v/>
      </c>
      <c r="AA435" s="56" t="str">
        <f t="shared" si="40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IF($AA435="","",IF($B435="I",VLOOKUP($AA435,#REF!,53,0),INDEX(VALUES!$B$1:$BQ$1,1,$AA435)))</f>
        <v/>
      </c>
    </row>
    <row r="436" spans="1:29" x14ac:dyDescent="0.3">
      <c r="A436" s="22" t="s">
        <v>84</v>
      </c>
      <c r="B436" s="41" t="str">
        <f t="shared" ref="B436:B460" si="41">IF($A436="P",IF(NOT($Z436=""),"A",IF(NOT($AA436=""),"I","")),IF(NOT($AA436=""),IF($A436="G","V","X"),IF(NOT($Z436=""),"A","")))</f>
        <v/>
      </c>
      <c r="C436" s="42">
        <f t="shared" ref="C436:C467" si="42">(ROW()-1)</f>
        <v>435</v>
      </c>
      <c r="D436" s="38"/>
      <c r="E436" s="38"/>
      <c r="F436" s="38"/>
      <c r="G436" s="38"/>
      <c r="H436" s="38"/>
      <c r="I436" s="38"/>
      <c r="J436" s="38"/>
      <c r="K436" s="53" t="s">
        <v>57</v>
      </c>
      <c r="L436" s="53" t="s">
        <v>38</v>
      </c>
      <c r="M436" s="153" t="s">
        <v>209</v>
      </c>
      <c r="N436" s="154" t="s">
        <v>210</v>
      </c>
      <c r="O436" s="155"/>
      <c r="R436" s="38" t="s">
        <v>195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IF(OR($M436="",NOT($O436="{array}")),"",IFERROR(MATCH(PARAMETERS!$M436,DEFAULT!$B$5:$CI$5,0),""))</f>
        <v/>
      </c>
      <c r="AA436" s="56" t="str">
        <f t="shared" si="40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IF($AA436="","",IF($B436="I",VLOOKUP($AA436,#REF!,53,0),INDEX(VALUES!$B$1:$BQ$1,1,$AA436)))</f>
        <v/>
      </c>
    </row>
    <row r="437" spans="1:29" hidden="1" outlineLevel="1" x14ac:dyDescent="0.3">
      <c r="A437" s="22" t="s">
        <v>84</v>
      </c>
      <c r="B437" s="41" t="str">
        <f t="shared" si="41"/>
        <v/>
      </c>
      <c r="C437" s="42">
        <f t="shared" si="42"/>
        <v>436</v>
      </c>
      <c r="D437" s="38"/>
      <c r="E437" s="38"/>
      <c r="F437" s="38"/>
      <c r="G437" s="38"/>
      <c r="H437" s="38"/>
      <c r="I437" s="38" t="s">
        <v>9</v>
      </c>
      <c r="J437" s="38"/>
      <c r="K437" s="53" t="s">
        <v>44</v>
      </c>
      <c r="L437" s="53" t="s">
        <v>32</v>
      </c>
      <c r="M437" s="156" t="s">
        <v>211</v>
      </c>
      <c r="N437" s="53" t="s">
        <v>212</v>
      </c>
      <c r="O437" s="155">
        <v>1</v>
      </c>
      <c r="R437" s="38" t="s">
        <v>195</v>
      </c>
      <c r="S437" s="38"/>
      <c r="T437" s="38"/>
      <c r="W437" s="15"/>
      <c r="Z437" s="59" t="str">
        <f>IF(OR($M437="",NOT($O437="{array}")),"",IFERROR(MATCH(PARAMETERS!$M437,DEFAULT!$B$5:$CI$5,0),""))</f>
        <v/>
      </c>
      <c r="AA437" s="56" t="str">
        <f t="shared" si="40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IF($AA437="","",IF($B437="I",VLOOKUP($AA437,#REF!,53,0),INDEX(VALUES!$B$1:$BQ$1,1,$AA437)))</f>
        <v/>
      </c>
    </row>
    <row r="438" spans="1:29" hidden="1" outlineLevel="1" x14ac:dyDescent="0.3">
      <c r="A438" s="22" t="s">
        <v>84</v>
      </c>
      <c r="B438" s="41" t="str">
        <f t="shared" si="41"/>
        <v/>
      </c>
      <c r="C438" s="42">
        <f t="shared" si="42"/>
        <v>437</v>
      </c>
      <c r="D438" s="38"/>
      <c r="E438" s="38"/>
      <c r="F438" s="38"/>
      <c r="G438" s="38"/>
      <c r="H438" s="38"/>
      <c r="I438" s="38" t="s">
        <v>9</v>
      </c>
      <c r="J438" s="38"/>
      <c r="K438" s="53" t="s">
        <v>44</v>
      </c>
      <c r="L438" s="53" t="s">
        <v>32</v>
      </c>
      <c r="M438" s="156" t="s">
        <v>213</v>
      </c>
      <c r="N438" s="53" t="s">
        <v>214</v>
      </c>
      <c r="O438" s="155">
        <v>0</v>
      </c>
      <c r="R438" s="38" t="s">
        <v>195</v>
      </c>
      <c r="S438" s="38"/>
      <c r="T438" s="38"/>
      <c r="W438" s="15"/>
      <c r="Z438" s="59" t="str">
        <f>IF(OR($M438="",NOT($O438="{array}")),"",IFERROR(MATCH(PARAMETERS!$M438,DEFAULT!$B$5:$CI$5,0),""))</f>
        <v/>
      </c>
      <c r="AA438" s="56" t="str">
        <f t="shared" si="40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IF($AA438="","",IF($B438="I",VLOOKUP($AA438,#REF!,53,0),INDEX(VALUES!$B$1:$BQ$1,1,$AA438)))</f>
        <v/>
      </c>
    </row>
    <row r="439" spans="1:29" collapsed="1" x14ac:dyDescent="0.3">
      <c r="A439" s="22" t="s">
        <v>84</v>
      </c>
      <c r="B439" s="41" t="str">
        <f t="shared" si="41"/>
        <v/>
      </c>
      <c r="C439" s="42">
        <f t="shared" si="42"/>
        <v>438</v>
      </c>
      <c r="D439" s="38"/>
      <c r="E439" s="38"/>
      <c r="F439" s="38"/>
      <c r="G439" s="38" t="s">
        <v>9</v>
      </c>
      <c r="H439" s="38"/>
      <c r="I439" s="38"/>
      <c r="J439" s="38"/>
      <c r="K439" s="53" t="s">
        <v>57</v>
      </c>
      <c r="L439" s="53" t="s">
        <v>38</v>
      </c>
      <c r="M439" s="153" t="s">
        <v>1340</v>
      </c>
      <c r="N439" s="154" t="s">
        <v>1341</v>
      </c>
      <c r="O439" s="155"/>
      <c r="R439" s="38" t="s">
        <v>195</v>
      </c>
      <c r="S439" s="38"/>
      <c r="T439" s="38"/>
      <c r="Z439" s="59" t="str">
        <f>IF(OR($M439="",NOT($O439="{array}")),"",IFERROR(MATCH(PARAMETERS!$M439,DEFAULT!$B$5:$CI$5,0),""))</f>
        <v/>
      </c>
      <c r="AA439" s="56" t="str">
        <f t="shared" si="40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IF($AA439="","",IF($B439="I",VLOOKUP($AA439,#REF!,53,0),INDEX(VALUES!$B$1:$BQ$1,1,$AA439)))</f>
        <v/>
      </c>
    </row>
    <row r="440" spans="1:29" hidden="1" outlineLevel="1" x14ac:dyDescent="0.3">
      <c r="A440" s="22" t="s">
        <v>84</v>
      </c>
      <c r="B440" s="41" t="str">
        <f t="shared" si="41"/>
        <v/>
      </c>
      <c r="C440" s="42">
        <f t="shared" si="42"/>
        <v>439</v>
      </c>
      <c r="D440" s="38"/>
      <c r="E440" s="38"/>
      <c r="F440" s="38"/>
      <c r="G440" s="38" t="s">
        <v>9</v>
      </c>
      <c r="H440" s="38"/>
      <c r="I440" s="38" t="s">
        <v>9</v>
      </c>
      <c r="J440" s="38"/>
      <c r="K440" s="53" t="s">
        <v>18</v>
      </c>
      <c r="L440" s="53" t="s">
        <v>32</v>
      </c>
      <c r="M440" s="156" t="s">
        <v>1342</v>
      </c>
      <c r="N440" s="53" t="s">
        <v>1343</v>
      </c>
      <c r="O440" s="155" t="s">
        <v>215</v>
      </c>
      <c r="R440" s="38" t="s">
        <v>195</v>
      </c>
      <c r="S440" s="38"/>
      <c r="T440" s="38"/>
      <c r="Z440" s="59" t="str">
        <f>IF(OR($M440="",NOT($O440="{array}")),"",IFERROR(MATCH(PARAMETERS!$M440,DEFAULT!$B$5:$CI$5,0),""))</f>
        <v/>
      </c>
      <c r="AA440" s="56" t="str">
        <f t="shared" si="40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IF($AA440="","",IF($B440="I",VLOOKUP($AA440,#REF!,53,0),INDEX(VALUES!$B$1:$BQ$1,1,$AA440)))</f>
        <v/>
      </c>
    </row>
    <row r="441" spans="1:29" hidden="1" outlineLevel="1" x14ac:dyDescent="0.3">
      <c r="A441" s="22" t="s">
        <v>84</v>
      </c>
      <c r="B441" s="41" t="str">
        <f t="shared" si="41"/>
        <v/>
      </c>
      <c r="C441" s="42">
        <f t="shared" si="42"/>
        <v>440</v>
      </c>
      <c r="D441" s="38"/>
      <c r="E441" s="38"/>
      <c r="F441" s="38"/>
      <c r="G441" s="38" t="s">
        <v>9</v>
      </c>
      <c r="H441" s="38"/>
      <c r="I441" s="38" t="s">
        <v>9</v>
      </c>
      <c r="J441" s="38"/>
      <c r="K441" s="53" t="s">
        <v>18</v>
      </c>
      <c r="L441" s="53" t="s">
        <v>32</v>
      </c>
      <c r="M441" s="156" t="s">
        <v>1344</v>
      </c>
      <c r="N441" s="53" t="s">
        <v>1345</v>
      </c>
      <c r="O441" s="155" t="s">
        <v>1346</v>
      </c>
      <c r="R441" s="38" t="s">
        <v>195</v>
      </c>
      <c r="S441" s="38"/>
      <c r="T441" s="38"/>
      <c r="Z441" s="59" t="str">
        <f>IF(OR($M441="",NOT($O441="{array}")),"",IFERROR(MATCH(PARAMETERS!$M441,DEFAULT!$B$5:$CI$5,0),""))</f>
        <v/>
      </c>
      <c r="AA441" s="56" t="str">
        <f t="shared" si="40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IF($AA441="","",IF($B441="I",VLOOKUP($AA441,#REF!,53,0),INDEX(VALUES!$B$1:$BQ$1,1,$AA441)))</f>
        <v/>
      </c>
    </row>
    <row r="442" spans="1:29" collapsed="1" x14ac:dyDescent="0.3">
      <c r="A442" s="22" t="s">
        <v>84</v>
      </c>
      <c r="B442" s="41" t="str">
        <f t="shared" si="41"/>
        <v/>
      </c>
      <c r="C442" s="42">
        <f t="shared" si="42"/>
        <v>441</v>
      </c>
      <c r="D442" s="38"/>
      <c r="E442" s="38"/>
      <c r="F442" s="38" t="s">
        <v>9</v>
      </c>
      <c r="G442" s="38" t="s">
        <v>9</v>
      </c>
      <c r="H442" s="38"/>
      <c r="I442" s="38"/>
      <c r="J442" s="38"/>
      <c r="K442" s="14" t="s">
        <v>57</v>
      </c>
      <c r="L442" s="14" t="s">
        <v>38</v>
      </c>
      <c r="M442" s="48" t="s">
        <v>216</v>
      </c>
      <c r="N442" s="41" t="s">
        <v>217</v>
      </c>
      <c r="R442" s="38" t="s">
        <v>104</v>
      </c>
      <c r="S442" s="38"/>
      <c r="T442" s="38"/>
      <c r="W442" s="15" t="str">
        <f>IF(IFERROR(VLOOKUP($M442,#REF!,1,0),"-")="-","","GS")</f>
        <v/>
      </c>
      <c r="Z442" s="59" t="str">
        <f>IF(OR($M442="",NOT($O442="{array}")),"",IFERROR(MATCH(PARAMETERS!$M442,DEFAULT!$B$5:$CI$5,0),""))</f>
        <v/>
      </c>
      <c r="AA442" s="56" t="str">
        <f t="shared" si="40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IF($AA442="","",IF($B442="I",VLOOKUP($AA442,#REF!,53,0),INDEX(VALUES!$B$1:$BQ$1,1,$AA442)))</f>
        <v/>
      </c>
    </row>
    <row r="443" spans="1:29" hidden="1" outlineLevel="1" x14ac:dyDescent="0.3">
      <c r="A443" s="22"/>
      <c r="B443" s="41" t="str">
        <f t="shared" si="41"/>
        <v/>
      </c>
      <c r="C443" s="42">
        <f t="shared" si="42"/>
        <v>442</v>
      </c>
      <c r="D443" s="38"/>
      <c r="E443" s="38"/>
      <c r="F443" s="38"/>
      <c r="G443" s="38" t="s">
        <v>9</v>
      </c>
      <c r="H443" s="38"/>
      <c r="I443" s="38" t="s">
        <v>9</v>
      </c>
      <c r="J443" s="38"/>
      <c r="K443" s="14" t="s">
        <v>18</v>
      </c>
      <c r="L443" s="14" t="s">
        <v>38</v>
      </c>
      <c r="M443" s="20" t="s">
        <v>218</v>
      </c>
      <c r="N443" s="14" t="s">
        <v>219</v>
      </c>
      <c r="O443" s="43" t="s">
        <v>220</v>
      </c>
      <c r="R443" s="38" t="s">
        <v>104</v>
      </c>
      <c r="S443" s="38"/>
      <c r="T443" s="38"/>
      <c r="W443" s="15" t="str">
        <f>IF(IFERROR(VLOOKUP($M443,#REF!,1,0),"-")="-","","GS")</f>
        <v/>
      </c>
      <c r="Z443" s="59" t="str">
        <f>IF(OR($M443="",NOT($O443="{array}")),"",IFERROR(MATCH(PARAMETERS!$M443,DEFAULT!$B$5:$CI$5,0),""))</f>
        <v/>
      </c>
      <c r="AA443" s="56" t="str">
        <f t="shared" si="40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IF($AA443="","",IF($B443="I",VLOOKUP($AA443,#REF!,53,0),INDEX(VALUES!$B$1:$BQ$1,1,$AA443)))</f>
        <v/>
      </c>
    </row>
    <row r="444" spans="1:29" hidden="1" outlineLevel="1" x14ac:dyDescent="0.3">
      <c r="A444" s="22" t="s">
        <v>84</v>
      </c>
      <c r="B444" s="41" t="str">
        <f t="shared" si="41"/>
        <v/>
      </c>
      <c r="C444" s="42">
        <f t="shared" si="42"/>
        <v>443</v>
      </c>
      <c r="D444" s="38"/>
      <c r="E444" s="38"/>
      <c r="F444" s="38"/>
      <c r="G444" s="38"/>
      <c r="H444" s="38"/>
      <c r="I444" s="38" t="s">
        <v>9</v>
      </c>
      <c r="J444" s="38"/>
      <c r="K444" s="53" t="s">
        <v>44</v>
      </c>
      <c r="L444" s="53" t="s">
        <v>32</v>
      </c>
      <c r="M444" s="156" t="s">
        <v>176</v>
      </c>
      <c r="N444" s="53" t="s">
        <v>1038</v>
      </c>
      <c r="O444" s="155">
        <v>1</v>
      </c>
      <c r="R444" s="38" t="s">
        <v>195</v>
      </c>
      <c r="S444" s="38"/>
      <c r="T444" s="38"/>
      <c r="W444" s="15"/>
      <c r="Z444" s="59" t="str">
        <f>IF(OR($M444="",NOT($O444="{array}")),"",IFERROR(MATCH(PARAMETERS!$M444,DEFAULT!$B$5:$CI$5,0),""))</f>
        <v/>
      </c>
      <c r="AA444" s="56" t="str">
        <f t="shared" si="40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IF($AA444="","",IF($B444="I",VLOOKUP($AA444,#REF!,53,0),INDEX(VALUES!$B$1:$BQ$1,1,$AA444)))</f>
        <v/>
      </c>
    </row>
    <row r="445" spans="1:29" hidden="1" outlineLevel="1" x14ac:dyDescent="0.3">
      <c r="A445" s="22" t="s">
        <v>84</v>
      </c>
      <c r="B445" s="41" t="str">
        <f t="shared" si="41"/>
        <v/>
      </c>
      <c r="C445" s="42">
        <f t="shared" si="42"/>
        <v>444</v>
      </c>
      <c r="D445" s="38"/>
      <c r="E445" s="38"/>
      <c r="F445" s="38"/>
      <c r="G445" s="38"/>
      <c r="H445" s="38"/>
      <c r="I445" s="38" t="s">
        <v>9</v>
      </c>
      <c r="J445" s="38"/>
      <c r="K445" s="53" t="s">
        <v>44</v>
      </c>
      <c r="L445" s="53" t="s">
        <v>32</v>
      </c>
      <c r="M445" s="156" t="s">
        <v>221</v>
      </c>
      <c r="N445" s="53" t="s">
        <v>222</v>
      </c>
      <c r="O445" s="155">
        <v>1</v>
      </c>
      <c r="R445" s="38" t="s">
        <v>195</v>
      </c>
      <c r="S445" s="38"/>
      <c r="T445" s="38"/>
      <c r="W445" s="15"/>
      <c r="Z445" s="59" t="str">
        <f>IF(OR($M445="",NOT($O445="{array}")),"",IFERROR(MATCH(PARAMETERS!$M445,DEFAULT!$B$5:$CI$5,0),""))</f>
        <v/>
      </c>
      <c r="AA445" s="56" t="str">
        <f t="shared" si="40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IF($AA445="","",IF($B445="I",VLOOKUP($AA445,#REF!,53,0),INDEX(VALUES!$B$1:$BQ$1,1,$AA445)))</f>
        <v/>
      </c>
    </row>
    <row r="446" spans="1:29" hidden="1" outlineLevel="1" x14ac:dyDescent="0.3">
      <c r="A446" s="22" t="s">
        <v>84</v>
      </c>
      <c r="B446" s="41" t="str">
        <f t="shared" si="41"/>
        <v/>
      </c>
      <c r="C446" s="42">
        <f t="shared" si="42"/>
        <v>445</v>
      </c>
      <c r="D446" s="38"/>
      <c r="E446" s="38"/>
      <c r="F446" s="38" t="s">
        <v>9</v>
      </c>
      <c r="G446" s="38" t="s">
        <v>9</v>
      </c>
      <c r="H446" s="38"/>
      <c r="I446" s="38" t="s">
        <v>9</v>
      </c>
      <c r="J446" s="38"/>
      <c r="K446" s="14" t="s">
        <v>44</v>
      </c>
      <c r="L446" s="14" t="s">
        <v>27</v>
      </c>
      <c r="M446" s="20" t="s">
        <v>223</v>
      </c>
      <c r="N446" s="14" t="s">
        <v>224</v>
      </c>
      <c r="O446" s="43">
        <v>1</v>
      </c>
      <c r="Q446" s="38" t="s">
        <v>9</v>
      </c>
      <c r="R446" s="38" t="s">
        <v>104</v>
      </c>
      <c r="S446" s="38"/>
      <c r="T446" s="38"/>
      <c r="W446" s="15" t="str">
        <f>IF(IFERROR(VLOOKUP($M446,#REF!,1,0),"-")="-","","GS")</f>
        <v/>
      </c>
      <c r="Z446" s="59" t="str">
        <f>IF(OR($M446="",NOT($O446="{array}")),"",IFERROR(MATCH(PARAMETERS!$M446,DEFAULT!$B$5:$CI$5,0),""))</f>
        <v/>
      </c>
      <c r="AA446" s="56" t="str">
        <f t="shared" si="40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IF($AA446="","",IF($B446="I",VLOOKUP($AA446,#REF!,53,0),INDEX(VALUES!$B$1:$BQ$1,1,$AA446)))</f>
        <v/>
      </c>
    </row>
    <row r="447" spans="1:29" hidden="1" outlineLevel="1" x14ac:dyDescent="0.3">
      <c r="A447" s="22" t="s">
        <v>84</v>
      </c>
      <c r="B447" s="41" t="str">
        <f t="shared" si="41"/>
        <v/>
      </c>
      <c r="C447" s="42">
        <f t="shared" si="42"/>
        <v>446</v>
      </c>
      <c r="D447" s="38"/>
      <c r="E447" s="38"/>
      <c r="F447" s="38" t="s">
        <v>9</v>
      </c>
      <c r="G447" s="38" t="s">
        <v>9</v>
      </c>
      <c r="H447" s="38"/>
      <c r="I447" s="38" t="s">
        <v>9</v>
      </c>
      <c r="J447" s="38"/>
      <c r="K447" s="14" t="s">
        <v>44</v>
      </c>
      <c r="L447" s="14" t="s">
        <v>27</v>
      </c>
      <c r="M447" s="20" t="s">
        <v>225</v>
      </c>
      <c r="N447" s="14" t="s">
        <v>226</v>
      </c>
      <c r="O447" s="43">
        <v>1</v>
      </c>
      <c r="Q447" s="38" t="s">
        <v>9</v>
      </c>
      <c r="R447" s="38" t="s">
        <v>104</v>
      </c>
      <c r="S447" s="38"/>
      <c r="T447" s="38"/>
      <c r="W447" s="15" t="str">
        <f>IF(IFERROR(VLOOKUP($M447,#REF!,1,0),"-")="-","","GS")</f>
        <v/>
      </c>
      <c r="Z447" s="59" t="str">
        <f>IF(OR($M447="",NOT($O447="{array}")),"",IFERROR(MATCH(PARAMETERS!$M447,DEFAULT!$B$5:$CI$5,0),""))</f>
        <v/>
      </c>
      <c r="AA447" s="56" t="str">
        <f t="shared" si="40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IF($AA447="","",IF($B447="I",VLOOKUP($AA447,#REF!,53,0),INDEX(VALUES!$B$1:$BQ$1,1,$AA447)))</f>
        <v/>
      </c>
    </row>
    <row r="448" spans="1:29" hidden="1" outlineLevel="1" x14ac:dyDescent="0.3">
      <c r="A448" s="22" t="s">
        <v>84</v>
      </c>
      <c r="B448" s="41" t="str">
        <f t="shared" si="41"/>
        <v/>
      </c>
      <c r="C448" s="42">
        <f t="shared" si="42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 t="s">
        <v>9</v>
      </c>
      <c r="K448" s="14" t="s">
        <v>44</v>
      </c>
      <c r="L448" s="14" t="s">
        <v>27</v>
      </c>
      <c r="M448" s="20" t="s">
        <v>227</v>
      </c>
      <c r="N448" s="14" t="s">
        <v>226</v>
      </c>
      <c r="O448" s="43">
        <v>1</v>
      </c>
      <c r="Q448" s="38" t="s">
        <v>9</v>
      </c>
      <c r="R448" s="38" t="s">
        <v>104</v>
      </c>
      <c r="S448" s="38"/>
      <c r="T448" s="38"/>
      <c r="W448" s="15" t="str">
        <f>IF(IFERROR(VLOOKUP($M448,#REF!,1,0),"-")="-","","GS")</f>
        <v/>
      </c>
      <c r="Z448" s="59" t="str">
        <f>IF(OR($M448="",NOT($O448="{array}")),"",IFERROR(MATCH(PARAMETERS!$M448,DEFAULT!$B$5:$CI$5,0),""))</f>
        <v/>
      </c>
      <c r="AA448" s="56" t="str">
        <f t="shared" si="40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IF($AA448="","",IF($B448="I",VLOOKUP($AA448,#REF!,53,0),INDEX(VALUES!$B$1:$BQ$1,1,$AA448)))</f>
        <v/>
      </c>
    </row>
    <row r="449" spans="1:29" hidden="1" outlineLevel="1" x14ac:dyDescent="0.3">
      <c r="A449" s="22" t="s">
        <v>84</v>
      </c>
      <c r="B449" s="41" t="str">
        <f t="shared" si="41"/>
        <v/>
      </c>
      <c r="C449" s="42">
        <f t="shared" si="42"/>
        <v>448</v>
      </c>
      <c r="D449" s="38"/>
      <c r="E449" s="38"/>
      <c r="F449" s="38"/>
      <c r="G449" s="38" t="s">
        <v>9</v>
      </c>
      <c r="H449" s="38"/>
      <c r="I449" s="38" t="s">
        <v>9</v>
      </c>
      <c r="J449" s="38"/>
      <c r="K449" s="14" t="s">
        <v>44</v>
      </c>
      <c r="L449" s="14" t="s">
        <v>27</v>
      </c>
      <c r="M449" s="20" t="s">
        <v>228</v>
      </c>
      <c r="O449" s="43">
        <v>0</v>
      </c>
      <c r="Q449" s="38" t="s">
        <v>229</v>
      </c>
      <c r="R449" s="38" t="s">
        <v>104</v>
      </c>
      <c r="S449" s="38"/>
      <c r="T449" s="38"/>
      <c r="W449" s="15" t="str">
        <f>IF(IFERROR(VLOOKUP($M449,#REF!,1,0),"-")="-","","GS")</f>
        <v/>
      </c>
      <c r="Z449" s="59" t="str">
        <f>IF(OR($M449="",NOT($O449="{array}")),"",IFERROR(MATCH(PARAMETERS!$M449,DEFAULT!$B$5:$CI$5,0),""))</f>
        <v/>
      </c>
      <c r="AA449" s="56" t="str">
        <f t="shared" si="40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IF($AA449="","",IF($B449="I",VLOOKUP($AA449,#REF!,53,0),INDEX(VALUES!$B$1:$BQ$1,1,$AA449)))</f>
        <v/>
      </c>
    </row>
    <row r="450" spans="1:29" hidden="1" outlineLevel="1" x14ac:dyDescent="0.3">
      <c r="A450" s="22" t="s">
        <v>84</v>
      </c>
      <c r="B450" s="41" t="str">
        <f t="shared" si="41"/>
        <v/>
      </c>
      <c r="C450" s="42">
        <f t="shared" si="42"/>
        <v>449</v>
      </c>
      <c r="D450" s="38"/>
      <c r="E450" s="38"/>
      <c r="F450" s="38"/>
      <c r="G450" s="38" t="s">
        <v>9</v>
      </c>
      <c r="H450" s="38"/>
      <c r="I450" s="38" t="s">
        <v>9</v>
      </c>
      <c r="J450" s="38"/>
      <c r="K450" s="14" t="s">
        <v>44</v>
      </c>
      <c r="L450" s="14" t="s">
        <v>27</v>
      </c>
      <c r="M450" s="20" t="s">
        <v>230</v>
      </c>
      <c r="O450" s="43">
        <v>1</v>
      </c>
      <c r="Q450" s="38" t="s">
        <v>229</v>
      </c>
      <c r="R450" s="38" t="s">
        <v>104</v>
      </c>
      <c r="S450" s="38"/>
      <c r="T450" s="38"/>
      <c r="W450" s="15" t="str">
        <f>IF(IFERROR(VLOOKUP($M450,#REF!,1,0),"-")="-","","GS")</f>
        <v/>
      </c>
      <c r="Z450" s="59" t="str">
        <f>IF(OR($M450="",NOT($O450="{array}")),"",IFERROR(MATCH(PARAMETERS!$M450,DEFAULT!$B$5:$CI$5,0),""))</f>
        <v/>
      </c>
      <c r="AA450" s="56" t="str">
        <f t="shared" si="40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IF($AA450="","",IF($B450="I",VLOOKUP($AA450,#REF!,53,0),INDEX(VALUES!$B$1:$BQ$1,1,$AA450)))</f>
        <v/>
      </c>
    </row>
    <row r="451" spans="1:29" hidden="1" outlineLevel="1" x14ac:dyDescent="0.3">
      <c r="A451" s="22" t="s">
        <v>84</v>
      </c>
      <c r="B451" s="41" t="str">
        <f t="shared" si="41"/>
        <v/>
      </c>
      <c r="C451" s="42">
        <f t="shared" si="42"/>
        <v>450</v>
      </c>
      <c r="D451" s="38"/>
      <c r="E451" s="38"/>
      <c r="F451" s="38" t="s">
        <v>9</v>
      </c>
      <c r="G451" s="38" t="s">
        <v>9</v>
      </c>
      <c r="H451" s="38"/>
      <c r="I451" s="38" t="s">
        <v>9</v>
      </c>
      <c r="J451" s="38"/>
      <c r="K451" s="14" t="s">
        <v>18</v>
      </c>
      <c r="L451" s="14" t="s">
        <v>27</v>
      </c>
      <c r="M451" s="20" t="s">
        <v>231</v>
      </c>
      <c r="N451" s="14" t="s">
        <v>232</v>
      </c>
      <c r="Q451" s="38" t="s">
        <v>9</v>
      </c>
      <c r="R451" s="38" t="s">
        <v>104</v>
      </c>
      <c r="S451" s="38"/>
      <c r="T451" s="38"/>
      <c r="W451" s="15" t="str">
        <f>IF(IFERROR(VLOOKUP($M451,#REF!,1,0),"-")="-","","GS")</f>
        <v/>
      </c>
      <c r="Z451" s="59" t="str">
        <f>IF(OR($M451="",NOT($O451="{array}")),"",IFERROR(MATCH(PARAMETERS!$M451,DEFAULT!$B$5:$CI$5,0),""))</f>
        <v/>
      </c>
      <c r="AA451" s="56" t="str">
        <f t="shared" si="40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IF($AA451="","",IF($B451="I",VLOOKUP($AA451,#REF!,53,0),INDEX(VALUES!$B$1:$BQ$1,1,$AA451)))</f>
        <v/>
      </c>
    </row>
    <row r="452" spans="1:29" hidden="1" outlineLevel="1" x14ac:dyDescent="0.3">
      <c r="A452" s="22" t="s">
        <v>84</v>
      </c>
      <c r="B452" s="41" t="str">
        <f t="shared" si="41"/>
        <v/>
      </c>
      <c r="C452" s="42">
        <f t="shared" si="42"/>
        <v>451</v>
      </c>
      <c r="D452" s="38"/>
      <c r="E452" s="38"/>
      <c r="F452" s="38" t="s">
        <v>9</v>
      </c>
      <c r="G452" s="38" t="s">
        <v>9</v>
      </c>
      <c r="H452" s="38"/>
      <c r="I452" s="38" t="s">
        <v>9</v>
      </c>
      <c r="J452" s="38" t="s">
        <v>9</v>
      </c>
      <c r="K452" s="14" t="s">
        <v>44</v>
      </c>
      <c r="L452" s="14" t="s">
        <v>38</v>
      </c>
      <c r="M452" s="20" t="s">
        <v>233</v>
      </c>
      <c r="N452" s="14" t="s">
        <v>234</v>
      </c>
      <c r="O452" s="43">
        <v>2</v>
      </c>
      <c r="Q452" s="38" t="s">
        <v>9</v>
      </c>
      <c r="R452" s="38" t="s">
        <v>104</v>
      </c>
      <c r="S452" s="38"/>
      <c r="T452" s="38"/>
      <c r="W452" s="15" t="str">
        <f>IF(IFERROR(VLOOKUP($M452,#REF!,1,0),"-")="-","","GS")</f>
        <v/>
      </c>
      <c r="Z452" s="59" t="str">
        <f>IF(OR($M452="",NOT($O452="{array}")),"",IFERROR(MATCH(PARAMETERS!$M452,DEFAULT!$B$5:$CI$5,0),""))</f>
        <v/>
      </c>
      <c r="AA452" s="56" t="str">
        <f t="shared" si="40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IF($AA452="","",IF($B452="I",VLOOKUP($AA452,#REF!,53,0),INDEX(VALUES!$B$1:$BQ$1,1,$AA452)))</f>
        <v/>
      </c>
    </row>
    <row r="453" spans="1:29" hidden="1" outlineLevel="1" x14ac:dyDescent="0.3">
      <c r="A453" s="22" t="s">
        <v>84</v>
      </c>
      <c r="B453" s="41" t="str">
        <f t="shared" si="41"/>
        <v/>
      </c>
      <c r="C453" s="42">
        <f t="shared" si="42"/>
        <v>452</v>
      </c>
      <c r="D453" s="38"/>
      <c r="E453" s="38"/>
      <c r="F453" s="38" t="s">
        <v>9</v>
      </c>
      <c r="G453" s="38" t="s">
        <v>9</v>
      </c>
      <c r="H453" s="38"/>
      <c r="I453" s="38" t="s">
        <v>9</v>
      </c>
      <c r="J453" s="38"/>
      <c r="K453" s="14" t="s">
        <v>47</v>
      </c>
      <c r="L453" s="14" t="s">
        <v>27</v>
      </c>
      <c r="M453" s="20" t="s">
        <v>235</v>
      </c>
      <c r="N453" s="14" t="s">
        <v>236</v>
      </c>
      <c r="O453" s="43">
        <v>1</v>
      </c>
      <c r="Q453" s="38" t="s">
        <v>9</v>
      </c>
      <c r="R453" s="38" t="s">
        <v>104</v>
      </c>
      <c r="S453" s="38"/>
      <c r="T453" s="38"/>
      <c r="W453" s="15" t="str">
        <f>IF(IFERROR(VLOOKUP($M453,#REF!,1,0),"-")="-","","GS")</f>
        <v/>
      </c>
      <c r="Z453" s="59" t="str">
        <f>IF(OR($M453="",NOT($O453="{array}")),"",IFERROR(MATCH(PARAMETERS!$M453,DEFAULT!$B$5:$CI$5,0),""))</f>
        <v/>
      </c>
      <c r="AA453" s="56" t="str">
        <f t="shared" si="40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IF($AA453="","",IF($B453="I",VLOOKUP($AA453,#REF!,53,0),INDEX(VALUES!$B$1:$BQ$1,1,$AA453)))</f>
        <v/>
      </c>
    </row>
    <row r="454" spans="1:29" hidden="1" outlineLevel="1" x14ac:dyDescent="0.3">
      <c r="A454" s="22" t="s">
        <v>84</v>
      </c>
      <c r="B454" s="41" t="str">
        <f t="shared" si="41"/>
        <v/>
      </c>
      <c r="C454" s="42">
        <f t="shared" si="42"/>
        <v>453</v>
      </c>
      <c r="D454" s="38"/>
      <c r="E454" s="38"/>
      <c r="F454" s="38"/>
      <c r="G454" s="38" t="s">
        <v>9</v>
      </c>
      <c r="H454" s="38"/>
      <c r="I454" s="38" t="s">
        <v>9</v>
      </c>
      <c r="J454" s="38"/>
      <c r="K454" s="14" t="s">
        <v>44</v>
      </c>
      <c r="L454" s="14" t="s">
        <v>27</v>
      </c>
      <c r="M454" s="20" t="s">
        <v>1175</v>
      </c>
      <c r="N454" s="14" t="s">
        <v>1176</v>
      </c>
      <c r="O454" s="43">
        <v>8000</v>
      </c>
      <c r="Q454" s="38" t="s">
        <v>9</v>
      </c>
      <c r="R454" s="38" t="s">
        <v>195</v>
      </c>
      <c r="S454" s="38"/>
      <c r="T454" s="38"/>
      <c r="W454" s="15" t="str">
        <f>IF(IFERROR(VLOOKUP($M454,#REF!,1,0),"-")="-","","GS")</f>
        <v/>
      </c>
      <c r="Z454" s="59" t="str">
        <f>IF(OR($M454="",NOT($O454="{array}")),"",IFERROR(MATCH(PARAMETERS!$M454,DEFAULT!$B$5:$CI$5,0),""))</f>
        <v/>
      </c>
      <c r="AA454" s="56" t="str">
        <f t="shared" si="40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IF($AA454="","",IF($B454="I",VLOOKUP($AA454,#REF!,53,0),INDEX(VALUES!$B$1:$BQ$1,1,$AA454)))</f>
        <v/>
      </c>
    </row>
    <row r="455" spans="1:29" hidden="1" outlineLevel="1" x14ac:dyDescent="0.3">
      <c r="A455" s="22" t="s">
        <v>84</v>
      </c>
      <c r="B455" s="41" t="str">
        <f t="shared" si="41"/>
        <v>V</v>
      </c>
      <c r="C455" s="42">
        <f t="shared" si="42"/>
        <v>454</v>
      </c>
      <c r="D455" s="38"/>
      <c r="E455" s="38"/>
      <c r="F455" s="38"/>
      <c r="G455" s="38"/>
      <c r="H455" s="38"/>
      <c r="I455" s="38" t="s">
        <v>9</v>
      </c>
      <c r="J455" s="38"/>
      <c r="K455" s="53" t="s">
        <v>44</v>
      </c>
      <c r="L455" s="53" t="s">
        <v>32</v>
      </c>
      <c r="M455" s="53" t="s">
        <v>237</v>
      </c>
      <c r="N455" s="53" t="s">
        <v>238</v>
      </c>
      <c r="O455" s="155">
        <v>0</v>
      </c>
      <c r="R455" s="38" t="s">
        <v>195</v>
      </c>
      <c r="S455" s="38"/>
      <c r="T455" s="38"/>
      <c r="W455" s="15"/>
      <c r="Z455" s="59" t="str">
        <f>IF(OR($M455="",NOT($O455="{array}")),"",IFERROR(MATCH(PARAMETERS!$M455,DEFAULT!$B$5:$CI$5,0),""))</f>
        <v/>
      </c>
      <c r="AA455" s="56">
        <f t="shared" si="40"/>
        <v>68</v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IF($AA455="","",IF($B455="I",VLOOKUP($AA455,#REF!,53,0),INDEX(VALUES!$B$1:$BQ$1,1,$AA455)))</f>
        <v>0 | 1 | 2 | 3 | 4 | 5 | 6 | 7 | ...</v>
      </c>
    </row>
    <row r="456" spans="1:29" collapsed="1" x14ac:dyDescent="0.3">
      <c r="A456" s="22" t="s">
        <v>84</v>
      </c>
      <c r="B456" s="41" t="str">
        <f t="shared" si="41"/>
        <v/>
      </c>
      <c r="C456" s="220">
        <f t="shared" si="42"/>
        <v>455</v>
      </c>
      <c r="D456" s="221"/>
      <c r="E456" s="221"/>
      <c r="F456" s="221"/>
      <c r="G456" s="221"/>
      <c r="H456" s="221"/>
      <c r="I456" s="221"/>
      <c r="J456" s="221"/>
      <c r="K456" s="222" t="s">
        <v>57</v>
      </c>
      <c r="L456" s="222" t="s">
        <v>38</v>
      </c>
      <c r="M456" s="223" t="s">
        <v>1144</v>
      </c>
      <c r="N456" s="224" t="s">
        <v>1145</v>
      </c>
      <c r="O456" s="225"/>
      <c r="P456" s="222"/>
      <c r="Q456" s="221"/>
      <c r="R456" s="221" t="s">
        <v>104</v>
      </c>
      <c r="S456" s="38"/>
      <c r="T456" s="38"/>
      <c r="Z456" s="59" t="str">
        <f>IF(OR($M456="",NOT($O456="{array}")),"",IFERROR(MATCH(PARAMETERS!$M456,DEFAULT!$B$5:$CI$5,0),""))</f>
        <v/>
      </c>
      <c r="AA456" s="56" t="str">
        <f t="shared" si="40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IF($AA456="","",IF($B456="I",VLOOKUP($AA456,#REF!,53,0),INDEX(VALUES!$B$1:$BQ$1,1,$AA456)))</f>
        <v/>
      </c>
    </row>
    <row r="457" spans="1:29" hidden="1" outlineLevel="1" x14ac:dyDescent="0.3">
      <c r="A457" s="22" t="s">
        <v>84</v>
      </c>
      <c r="B457" s="41" t="str">
        <f t="shared" si="41"/>
        <v/>
      </c>
      <c r="C457" s="226">
        <f t="shared" si="42"/>
        <v>456</v>
      </c>
      <c r="D457" s="221"/>
      <c r="E457" s="221"/>
      <c r="F457" s="221"/>
      <c r="G457" s="221"/>
      <c r="H457" s="221"/>
      <c r="I457" s="221" t="s">
        <v>9</v>
      </c>
      <c r="J457" s="221" t="s">
        <v>9</v>
      </c>
      <c r="K457" s="222" t="s">
        <v>44</v>
      </c>
      <c r="L457" s="227" t="s">
        <v>38</v>
      </c>
      <c r="M457" s="228" t="s">
        <v>1146</v>
      </c>
      <c r="N457" s="222" t="s">
        <v>1147</v>
      </c>
      <c r="O457" s="225">
        <v>1</v>
      </c>
      <c r="P457" s="222"/>
      <c r="Q457" s="221"/>
      <c r="R457" s="221" t="s">
        <v>195</v>
      </c>
      <c r="S457" s="38"/>
      <c r="T457" s="38"/>
      <c r="Z457" s="59" t="str">
        <f>IF(OR($M457="",NOT($O457="{array}")),"",IFERROR(MATCH(PARAMETERS!$M457,DEFAULT!$B$5:$CI$5,0),""))</f>
        <v/>
      </c>
      <c r="AA457" s="56" t="str">
        <f t="shared" si="40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IF($AA457="","",IF($B457="I",VLOOKUP($AA457,#REF!,53,0),INDEX(VALUES!$B$1:$BQ$1,1,$AA457)))</f>
        <v/>
      </c>
    </row>
    <row r="458" spans="1:29" hidden="1" outlineLevel="1" x14ac:dyDescent="0.3">
      <c r="A458" s="22" t="s">
        <v>84</v>
      </c>
      <c r="B458" s="41" t="str">
        <f t="shared" si="41"/>
        <v/>
      </c>
      <c r="C458" s="226">
        <f t="shared" si="42"/>
        <v>457</v>
      </c>
      <c r="D458" s="221"/>
      <c r="E458" s="221"/>
      <c r="F458" s="221"/>
      <c r="G458" s="221"/>
      <c r="H458" s="221"/>
      <c r="I458" s="221" t="s">
        <v>9</v>
      </c>
      <c r="J458" s="221" t="s">
        <v>9</v>
      </c>
      <c r="K458" s="222" t="s">
        <v>44</v>
      </c>
      <c r="L458" s="227" t="s">
        <v>38</v>
      </c>
      <c r="M458" s="228" t="s">
        <v>1148</v>
      </c>
      <c r="N458" s="222" t="s">
        <v>1149</v>
      </c>
      <c r="O458" s="225">
        <v>1</v>
      </c>
      <c r="P458" s="222"/>
      <c r="Q458" s="221"/>
      <c r="R458" s="221" t="s">
        <v>195</v>
      </c>
      <c r="S458" s="38"/>
      <c r="T458" s="38"/>
      <c r="Z458" s="59" t="str">
        <f>IF(OR($M458="",NOT($O458="{array}")),"",IFERROR(MATCH(PARAMETERS!$M458,DEFAULT!$B$5:$CI$5,0),""))</f>
        <v/>
      </c>
      <c r="AA458" s="56" t="str">
        <f t="shared" si="40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IF($AA458="","",IF($B458="I",VLOOKUP($AA458,#REF!,53,0),INDEX(VALUES!$B$1:$BQ$1,1,$AA458)))</f>
        <v/>
      </c>
    </row>
    <row r="459" spans="1:29" hidden="1" outlineLevel="1" x14ac:dyDescent="0.3">
      <c r="A459" s="22" t="s">
        <v>84</v>
      </c>
      <c r="B459" s="41" t="str">
        <f t="shared" si="41"/>
        <v/>
      </c>
      <c r="C459" s="226">
        <f t="shared" si="42"/>
        <v>458</v>
      </c>
      <c r="D459" s="221"/>
      <c r="E459" s="221"/>
      <c r="F459" s="221"/>
      <c r="G459" s="221"/>
      <c r="H459" s="221"/>
      <c r="I459" s="221" t="s">
        <v>9</v>
      </c>
      <c r="J459" s="221" t="s">
        <v>9</v>
      </c>
      <c r="K459" s="222" t="s">
        <v>44</v>
      </c>
      <c r="L459" s="227" t="s">
        <v>38</v>
      </c>
      <c r="M459" s="228" t="s">
        <v>1150</v>
      </c>
      <c r="N459" s="222" t="s">
        <v>1151</v>
      </c>
      <c r="O459" s="225">
        <v>0</v>
      </c>
      <c r="P459" s="222"/>
      <c r="Q459" s="221"/>
      <c r="R459" s="221" t="s">
        <v>195</v>
      </c>
      <c r="S459" s="38"/>
      <c r="T459" s="38"/>
      <c r="Z459" s="59" t="str">
        <f>IF(OR($M459="",NOT($O459="{array}")),"",IFERROR(MATCH(PARAMETERS!$M459,DEFAULT!$B$5:$CI$5,0),""))</f>
        <v/>
      </c>
      <c r="AA459" s="56" t="str">
        <f t="shared" si="40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IF($AA459="","",IF($B459="I",VLOOKUP($AA459,#REF!,53,0),INDEX(VALUES!$B$1:$BQ$1,1,$AA459)))</f>
        <v/>
      </c>
    </row>
    <row r="460" spans="1:29" hidden="1" outlineLevel="1" x14ac:dyDescent="0.3">
      <c r="A460" s="22" t="s">
        <v>84</v>
      </c>
      <c r="B460" s="41" t="str">
        <f t="shared" si="41"/>
        <v/>
      </c>
      <c r="C460" s="226">
        <f t="shared" si="42"/>
        <v>459</v>
      </c>
      <c r="D460" s="221"/>
      <c r="E460" s="221"/>
      <c r="F460" s="221"/>
      <c r="G460" s="221"/>
      <c r="H460" s="221"/>
      <c r="I460" s="221" t="s">
        <v>9</v>
      </c>
      <c r="J460" s="221" t="s">
        <v>9</v>
      </c>
      <c r="K460" s="222" t="s">
        <v>44</v>
      </c>
      <c r="L460" s="227" t="s">
        <v>38</v>
      </c>
      <c r="M460" s="228" t="s">
        <v>1152</v>
      </c>
      <c r="N460" s="222" t="s">
        <v>1153</v>
      </c>
      <c r="O460" s="225">
        <v>0</v>
      </c>
      <c r="P460" s="222"/>
      <c r="Q460" s="221"/>
      <c r="R460" s="221" t="s">
        <v>195</v>
      </c>
      <c r="S460" s="38"/>
      <c r="T460" s="38"/>
      <c r="Z460" s="59" t="str">
        <f>IF(OR($M460="",NOT($O460="{array}")),"",IFERROR(MATCH(PARAMETERS!$M460,DEFAULT!$B$5:$CI$5,0),""))</f>
        <v/>
      </c>
      <c r="AA460" s="56" t="str">
        <f t="shared" si="40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IF($AA460="","",IF($B460="I",VLOOKUP($AA460,#REF!,53,0),INDEX(VALUES!$B$1:$BQ$1,1,$AA460)))</f>
        <v/>
      </c>
    </row>
    <row r="461" spans="1:29" hidden="1" outlineLevel="1" x14ac:dyDescent="0.3">
      <c r="A461" s="22"/>
      <c r="B461" s="41" t="str">
        <f t="shared" ref="B461:B467" si="43">IF($A461="P",IF(NOT($Z461=""),"A",IF(NOT($AA461=""),"I","")),IF(NOT($AA461=""),IF($A461="G","V","X"),IF(NOT($Z461=""),"A","")))</f>
        <v/>
      </c>
      <c r="C461" s="220">
        <f t="shared" si="42"/>
        <v>460</v>
      </c>
      <c r="D461" s="221"/>
      <c r="E461" s="221"/>
      <c r="F461" s="221"/>
      <c r="G461" s="221"/>
      <c r="H461" s="221"/>
      <c r="I461" s="221" t="s">
        <v>9</v>
      </c>
      <c r="J461" s="221"/>
      <c r="K461" s="222" t="s">
        <v>50</v>
      </c>
      <c r="L461" s="222" t="s">
        <v>38</v>
      </c>
      <c r="M461" s="228" t="s">
        <v>1223</v>
      </c>
      <c r="N461" s="222" t="s">
        <v>1224</v>
      </c>
      <c r="O461" s="225">
        <v>1</v>
      </c>
      <c r="P461" s="222"/>
      <c r="Q461" s="221"/>
      <c r="R461" s="221" t="s">
        <v>195</v>
      </c>
      <c r="S461" s="38"/>
      <c r="T461" s="38"/>
      <c r="Z461" s="59" t="str">
        <f>IF(OR($M461="",NOT($O461="{array}")),"",IFERROR(MATCH(PARAMETERS!$M461,DEFAULT!$B$5:$CI$5,0),""))</f>
        <v/>
      </c>
      <c r="AA461" s="56" t="str">
        <f t="shared" si="40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IF($AA461="","",IF($B461="I",VLOOKUP($AA461,#REF!,53,0),INDEX(VALUES!$B$1:$BQ$1,1,$AA461)))</f>
        <v/>
      </c>
    </row>
    <row r="462" spans="1:29" collapsed="1" x14ac:dyDescent="0.3">
      <c r="A462" s="22"/>
      <c r="B462" s="41" t="str">
        <f t="shared" si="43"/>
        <v/>
      </c>
      <c r="C462" s="42">
        <f t="shared" si="42"/>
        <v>461</v>
      </c>
      <c r="D462" s="38"/>
      <c r="E462" s="38"/>
      <c r="F462" s="38"/>
      <c r="G462" s="38"/>
      <c r="H462" s="38"/>
      <c r="I462" s="38"/>
      <c r="J462" s="38"/>
      <c r="R462" s="38"/>
      <c r="S462" s="38"/>
      <c r="T462" s="38"/>
      <c r="Z462" s="59" t="str">
        <f>IF(OR($M462="",NOT($O462="{array}")),"",IFERROR(MATCH(PARAMETERS!$M462,DEFAULT!$B$5:$CI$5,0),""))</f>
        <v/>
      </c>
      <c r="AA462" s="56" t="str">
        <f t="shared" si="40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IF($AA462="","",IF($B462="I",VLOOKUP($AA462,#REF!,53,0),INDEX(VALUES!$B$1:$BQ$1,1,$AA462)))</f>
        <v/>
      </c>
    </row>
    <row r="463" spans="1:29" x14ac:dyDescent="0.3">
      <c r="A463" s="22"/>
      <c r="B463" s="41" t="str">
        <f t="shared" si="43"/>
        <v/>
      </c>
      <c r="C463" s="42">
        <f t="shared" si="42"/>
        <v>462</v>
      </c>
      <c r="D463" s="38"/>
      <c r="E463" s="38"/>
      <c r="F463" s="38"/>
      <c r="G463" s="38"/>
      <c r="H463" s="38"/>
      <c r="I463" s="38"/>
      <c r="J463" s="38"/>
      <c r="R463" s="38"/>
      <c r="S463" s="38"/>
      <c r="T463" s="38"/>
      <c r="Z463" s="59" t="str">
        <f>IF(OR($M463="",NOT($O463="{array}")),"",IFERROR(MATCH(PARAMETERS!$M463,DEFAULT!$B$5:$CI$5,0),""))</f>
        <v/>
      </c>
      <c r="AA463" s="56" t="str">
        <f t="shared" si="40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IF($AA463="","",IF($B463="I",VLOOKUP($AA463,#REF!,53,0),INDEX(VALUES!$B$1:$BQ$1,1,$AA463)))</f>
        <v/>
      </c>
    </row>
    <row r="464" spans="1:29" x14ac:dyDescent="0.3">
      <c r="A464" s="22"/>
      <c r="B464" s="41" t="str">
        <f t="shared" si="43"/>
        <v/>
      </c>
      <c r="C464" s="42">
        <f t="shared" si="42"/>
        <v>463</v>
      </c>
      <c r="D464" s="38"/>
      <c r="E464" s="38"/>
      <c r="F464" s="38"/>
      <c r="G464" s="38"/>
      <c r="H464" s="38"/>
      <c r="I464" s="38"/>
      <c r="J464" s="38"/>
      <c r="R464" s="38"/>
      <c r="S464" s="38"/>
      <c r="T464" s="38"/>
      <c r="Z464" s="59" t="str">
        <f>IF(OR($M464="",NOT($O464="{array}")),"",IFERROR(MATCH(PARAMETERS!$M464,DEFAULT!$B$5:$CI$5,0),""))</f>
        <v/>
      </c>
      <c r="AA464" s="56" t="str">
        <f t="shared" si="40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IF($AA464="","",IF($B464="I",VLOOKUP($AA464,#REF!,53,0),INDEX(VALUES!$B$1:$BQ$1,1,$AA464)))</f>
        <v/>
      </c>
    </row>
    <row r="465" spans="1:29" x14ac:dyDescent="0.3">
      <c r="A465" s="22"/>
      <c r="B465" s="41" t="str">
        <f t="shared" si="43"/>
        <v/>
      </c>
      <c r="C465" s="42">
        <f t="shared" si="42"/>
        <v>464</v>
      </c>
      <c r="D465" s="38"/>
      <c r="E465" s="38"/>
      <c r="F465" s="38"/>
      <c r="G465" s="38"/>
      <c r="H465" s="38"/>
      <c r="I465" s="38"/>
      <c r="J465" s="38"/>
      <c r="R465" s="38"/>
      <c r="S465" s="38"/>
      <c r="T465" s="38"/>
      <c r="Z465" s="59" t="str">
        <f>IF(OR($M465="",NOT($O465="{array}")),"",IFERROR(MATCH(PARAMETERS!$M465,DEFAULT!$B$5:$CI$5,0),""))</f>
        <v/>
      </c>
      <c r="AA465" s="56" t="str">
        <f t="shared" si="40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IF($AA465="","",IF($B465="I",VLOOKUP($AA465,#REF!,53,0),INDEX(VALUES!$B$1:$BQ$1,1,$AA465)))</f>
        <v/>
      </c>
    </row>
    <row r="466" spans="1:29" x14ac:dyDescent="0.3">
      <c r="A466" s="22"/>
      <c r="B466" s="41" t="str">
        <f t="shared" si="43"/>
        <v/>
      </c>
      <c r="C466" s="42">
        <f t="shared" si="42"/>
        <v>465</v>
      </c>
      <c r="D466" s="38"/>
      <c r="E466" s="38"/>
      <c r="F466" s="38"/>
      <c r="G466" s="38"/>
      <c r="H466" s="38"/>
      <c r="I466" s="38"/>
      <c r="J466" s="38"/>
      <c r="R466" s="38"/>
      <c r="S466" s="38"/>
      <c r="T466" s="38"/>
      <c r="Z466" s="59" t="str">
        <f>IF(OR($M466="",NOT($O466="{array}")),"",IFERROR(MATCH(PARAMETERS!$M466,DEFAULT!$B$5:$CI$5,0),""))</f>
        <v/>
      </c>
      <c r="AA466" s="56" t="str">
        <f t="shared" si="40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IF($AA466="","",IF($B466="I",VLOOKUP($AA466,#REF!,53,0),INDEX(VALUES!$B$1:$BQ$1,1,$AA466)))</f>
        <v/>
      </c>
    </row>
    <row r="467" spans="1:29" ht="18" thickBot="1" x14ac:dyDescent="0.35">
      <c r="A467" s="22"/>
      <c r="B467" s="41" t="str">
        <f t="shared" si="43"/>
        <v/>
      </c>
      <c r="C467" s="42">
        <f t="shared" si="42"/>
        <v>466</v>
      </c>
      <c r="D467" s="38"/>
      <c r="E467" s="38"/>
      <c r="F467" s="38"/>
      <c r="G467" s="38"/>
      <c r="H467" s="38"/>
      <c r="I467" s="38"/>
      <c r="J467" s="38"/>
      <c r="R467" s="38"/>
      <c r="S467" s="38"/>
      <c r="T467" s="38"/>
      <c r="Z467" s="59" t="str">
        <f>IF(OR($M467="",NOT($O467="{array}")),"",IFERROR(MATCH(PARAMETERS!$M467,DEFAULT!$B$5:$CI$5,0),""))</f>
        <v/>
      </c>
      <c r="AA467" s="56" t="str">
        <f t="shared" si="40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IF($AA467="","",IF($B467="I",VLOOKUP($AA467,#REF!,53,0),INDEX(VALUES!$B$1:$BQ$1,1,$AA467)))</f>
        <v/>
      </c>
    </row>
    <row r="468" spans="1:29" s="25" customFormat="1" ht="18" thickTop="1" x14ac:dyDescent="0.3">
      <c r="A468" s="35"/>
      <c r="B468" s="25" t="str">
        <f>IF($A468="","",IF($A468="G",IF(NOT($Z468=""),"A",IF(NOT($AA468=""),"V","")),IF($A468="P",IF(NOT($Z468=""),"A",IF(NOT($AA468=""),"I","")))))</f>
        <v/>
      </c>
      <c r="D468" s="44"/>
      <c r="E468" s="44"/>
      <c r="F468" s="44"/>
      <c r="G468" s="44"/>
      <c r="H468" s="44"/>
      <c r="I468" s="44"/>
      <c r="J468" s="44"/>
      <c r="M468" s="47"/>
      <c r="O468" s="45"/>
      <c r="Q468" s="52"/>
      <c r="R468" s="44"/>
      <c r="S468" s="44"/>
      <c r="T468" s="44"/>
      <c r="X468" s="46"/>
      <c r="Z468" s="60"/>
      <c r="AA468" s="61"/>
      <c r="AB468" s="64"/>
    </row>
    <row r="469" spans="1:29" x14ac:dyDescent="0.3">
      <c r="M469" s="20" t="s">
        <v>1037</v>
      </c>
      <c r="N469" s="20" t="s">
        <v>1031</v>
      </c>
    </row>
    <row r="470" spans="1:29" x14ac:dyDescent="0.3">
      <c r="N470" s="209" t="s">
        <v>1032</v>
      </c>
    </row>
    <row r="471" spans="1:29" x14ac:dyDescent="0.3">
      <c r="N471" s="203" t="s">
        <v>1033</v>
      </c>
    </row>
    <row r="472" spans="1:29" x14ac:dyDescent="0.3">
      <c r="M472" s="20" t="s">
        <v>1036</v>
      </c>
      <c r="N472" s="151" t="s">
        <v>1034</v>
      </c>
    </row>
    <row r="473" spans="1:29" x14ac:dyDescent="0.3">
      <c r="N473" s="210" t="s">
        <v>1035</v>
      </c>
    </row>
  </sheetData>
  <phoneticPr fontId="7" type="noConversion"/>
  <conditionalFormatting sqref="A2:A467">
    <cfRule type="cellIs" dxfId="5" priority="59" stopIfTrue="1" operator="equal">
      <formula>"G"</formula>
    </cfRule>
    <cfRule type="cellIs" dxfId="4" priority="60" stopIfTrue="1" operator="equal">
      <formula>"P"</formula>
    </cfRule>
  </conditionalFormatting>
  <conditionalFormatting sqref="A439:A440">
    <cfRule type="cellIs" dxfId="3" priority="5" stopIfTrue="1" operator="equal">
      <formula>"G"</formula>
    </cfRule>
    <cfRule type="cellIs" dxfId="2" priority="6" stopIfTrue="1" operator="equal">
      <formula>"P"</formula>
    </cfRule>
  </conditionalFormatting>
  <conditionalFormatting sqref="A440:A441">
    <cfRule type="cellIs" dxfId="1" priority="3" stopIfTrue="1" operator="equal">
      <formula>"G"</formula>
    </cfRule>
    <cfRule type="cellIs" dxfId="0" priority="4" stopIfTrue="1" operator="equal">
      <formula>"P"</formula>
    </cfRule>
  </conditionalFormatting>
  <dataValidations count="8">
    <dataValidation type="list" allowBlank="1" showInputMessage="1" showErrorMessage="1" sqref="D2:J467 Q70:Q467 Q2:Q68">
      <formula1>"x"</formula1>
    </dataValidation>
    <dataValidation type="list" allowBlank="1" showInputMessage="1" showErrorMessage="1" sqref="R2:R467">
      <formula1>Stakeholder</formula1>
    </dataValidation>
    <dataValidation type="list" allowBlank="1" showInputMessage="1" sqref="S211:T467 S2:T204 S205:S210">
      <formula1>read_write</formula1>
    </dataValidation>
    <dataValidation type="list" allowBlank="1" showInputMessage="1" showErrorMessage="1" sqref="K2:K467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467">
      <formula1>"info,model,logic,internal"</formula1>
    </dataValidation>
    <dataValidation type="list" allowBlank="1" showInputMessage="1" sqref="O2:O467">
      <formula1>"empty,{array}"</formula1>
    </dataValidation>
    <dataValidation type="custom" allowBlank="1" showInputMessage="1" showErrorMessage="1" sqref="C2:C467">
      <formula1>"x"</formula1>
    </dataValidation>
    <dataValidation type="list" allowBlank="1" showInputMessage="1" sqref="A2:A467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CG1" sqref="CG1:CG1048576"/>
      <selection pane="bottomLeft" activeCell="CF11" sqref="CF11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9" width="7" style="17" bestFit="1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53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ref="CE2" si="3">IF(CE$3="-","-",IF(CE$3=CD$3,CD$2+1,1))</f>
        <v>-</v>
      </c>
      <c r="CF2" s="34" t="str">
        <f t="shared" ref="CF2" si="4">IF(CF$3="-","-",IF(CF$3=CE$3,CE$2+1,1))</f>
        <v>-</v>
      </c>
      <c r="CG2" s="34" t="str">
        <f t="shared" ref="CG2:CH2" si="5">IF(CG$3="-","-",IF(CG$3=CF$3,CF$2+1,1))</f>
        <v>-</v>
      </c>
      <c r="CH2" s="34" t="str">
        <f t="shared" si="5"/>
        <v>-</v>
      </c>
      <c r="CI2" s="34" t="str">
        <f t="shared" si="2"/>
        <v>-</v>
      </c>
      <c r="CJ2" s="253"/>
    </row>
    <row r="3" spans="1:88" x14ac:dyDescent="0.3">
      <c r="A3" s="27" t="s">
        <v>147</v>
      </c>
      <c r="B3" s="50" t="str">
        <f t="shared" ref="B3:AG3" si="6">IF(B$5="",A$3,IFERROR(MATCH(B$5,prodArrayNames,0),"-"))</f>
        <v>-</v>
      </c>
      <c r="C3" s="50" t="str">
        <f t="shared" si="6"/>
        <v>-</v>
      </c>
      <c r="D3" s="50" t="str">
        <f t="shared" si="6"/>
        <v>-</v>
      </c>
      <c r="E3" s="50" t="str">
        <f t="shared" si="6"/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si="6"/>
        <v>-</v>
      </c>
      <c r="M3" s="50" t="str">
        <f t="shared" si="6"/>
        <v>-</v>
      </c>
      <c r="N3" s="50" t="str">
        <f t="shared" si="6"/>
        <v>-</v>
      </c>
      <c r="O3" s="50" t="str">
        <f t="shared" si="6"/>
        <v>-</v>
      </c>
      <c r="P3" s="50" t="str">
        <f t="shared" si="6"/>
        <v>-</v>
      </c>
      <c r="Q3" s="50" t="str">
        <f t="shared" si="6"/>
        <v>-</v>
      </c>
      <c r="R3" s="50" t="str">
        <f t="shared" si="6"/>
        <v>-</v>
      </c>
      <c r="S3" s="50" t="str">
        <f t="shared" si="6"/>
        <v>-</v>
      </c>
      <c r="T3" s="50" t="str">
        <f t="shared" si="6"/>
        <v>-</v>
      </c>
      <c r="U3" s="50" t="str">
        <f t="shared" si="6"/>
        <v>-</v>
      </c>
      <c r="V3" s="50" t="str">
        <f t="shared" si="6"/>
        <v>-</v>
      </c>
      <c r="W3" s="50" t="str">
        <f t="shared" si="6"/>
        <v>-</v>
      </c>
      <c r="X3" s="50" t="str">
        <f t="shared" si="6"/>
        <v>-</v>
      </c>
      <c r="Y3" s="50" t="str">
        <f t="shared" si="6"/>
        <v>-</v>
      </c>
      <c r="Z3" s="50" t="str">
        <f t="shared" si="6"/>
        <v>-</v>
      </c>
      <c r="AA3" s="50" t="str">
        <f t="shared" si="6"/>
        <v>-</v>
      </c>
      <c r="AB3" s="50" t="str">
        <f t="shared" si="6"/>
        <v>-</v>
      </c>
      <c r="AC3" s="50" t="str">
        <f t="shared" si="6"/>
        <v>-</v>
      </c>
      <c r="AD3" s="50" t="str">
        <f t="shared" si="6"/>
        <v>-</v>
      </c>
      <c r="AE3" s="50" t="str">
        <f t="shared" si="6"/>
        <v>-</v>
      </c>
      <c r="AF3" s="50" t="str">
        <f t="shared" si="6"/>
        <v>-</v>
      </c>
      <c r="AG3" s="50" t="str">
        <f t="shared" si="6"/>
        <v>-</v>
      </c>
      <c r="AH3" s="50" t="str">
        <f t="shared" ref="AH3:BM3" si="7">IF(AH$5="",AG$3,IFERROR(MATCH(AH$5,prodArrayNames,0),"-"))</f>
        <v>-</v>
      </c>
      <c r="AI3" s="50" t="str">
        <f t="shared" si="7"/>
        <v>-</v>
      </c>
      <c r="AJ3" s="50" t="str">
        <f t="shared" si="7"/>
        <v>-</v>
      </c>
      <c r="AK3" s="50" t="str">
        <f t="shared" si="7"/>
        <v>-</v>
      </c>
      <c r="AL3" s="50" t="str">
        <f t="shared" si="7"/>
        <v>-</v>
      </c>
      <c r="AM3" s="50" t="str">
        <f t="shared" si="7"/>
        <v>-</v>
      </c>
      <c r="AN3" s="50" t="str">
        <f t="shared" si="7"/>
        <v>-</v>
      </c>
      <c r="AO3" s="50" t="str">
        <f t="shared" si="7"/>
        <v>-</v>
      </c>
      <c r="AP3" s="50" t="str">
        <f t="shared" si="7"/>
        <v>-</v>
      </c>
      <c r="AQ3" s="50" t="str">
        <f t="shared" si="7"/>
        <v>-</v>
      </c>
      <c r="AR3" s="50" t="str">
        <f t="shared" si="7"/>
        <v>-</v>
      </c>
      <c r="AS3" s="50" t="str">
        <f t="shared" si="7"/>
        <v>-</v>
      </c>
      <c r="AT3" s="50" t="str">
        <f t="shared" si="7"/>
        <v>-</v>
      </c>
      <c r="AU3" s="50" t="str">
        <f t="shared" si="7"/>
        <v>-</v>
      </c>
      <c r="AV3" s="50" t="str">
        <f t="shared" si="7"/>
        <v>-</v>
      </c>
      <c r="AW3" s="50" t="str">
        <f t="shared" si="7"/>
        <v>-</v>
      </c>
      <c r="AX3" s="50" t="str">
        <f t="shared" si="7"/>
        <v>-</v>
      </c>
      <c r="AY3" s="50" t="str">
        <f t="shared" si="7"/>
        <v>-</v>
      </c>
      <c r="AZ3" s="50" t="str">
        <f t="shared" si="7"/>
        <v>-</v>
      </c>
      <c r="BA3" s="50" t="str">
        <f t="shared" si="7"/>
        <v>-</v>
      </c>
      <c r="BB3" s="50" t="str">
        <f t="shared" si="7"/>
        <v>-</v>
      </c>
      <c r="BC3" s="50" t="str">
        <f t="shared" si="7"/>
        <v>-</v>
      </c>
      <c r="BD3" s="50" t="str">
        <f t="shared" si="7"/>
        <v>-</v>
      </c>
      <c r="BE3" s="50" t="str">
        <f t="shared" si="7"/>
        <v>-</v>
      </c>
      <c r="BF3" s="50" t="str">
        <f t="shared" si="7"/>
        <v>-</v>
      </c>
      <c r="BG3" s="50" t="str">
        <f t="shared" si="7"/>
        <v>-</v>
      </c>
      <c r="BH3" s="50" t="str">
        <f t="shared" si="7"/>
        <v>-</v>
      </c>
      <c r="BI3" s="50" t="str">
        <f t="shared" si="7"/>
        <v>-</v>
      </c>
      <c r="BJ3" s="50" t="str">
        <f t="shared" si="7"/>
        <v>-</v>
      </c>
      <c r="BK3" s="50" t="str">
        <f t="shared" si="7"/>
        <v>-</v>
      </c>
      <c r="BL3" s="50" t="str">
        <f t="shared" si="7"/>
        <v>-</v>
      </c>
      <c r="BM3" s="50" t="str">
        <f t="shared" si="7"/>
        <v>-</v>
      </c>
      <c r="BN3" s="50" t="str">
        <f t="shared" ref="BN3:CI3" si="8">IF(BN$5="",BM$3,IFERROR(MATCH(BN$5,prodArrayNames,0),"-"))</f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50" t="str">
        <f t="shared" si="8"/>
        <v>-</v>
      </c>
      <c r="BT3" s="50" t="str">
        <f t="shared" si="8"/>
        <v>-</v>
      </c>
      <c r="BU3" s="50" t="str">
        <f t="shared" si="8"/>
        <v>-</v>
      </c>
      <c r="BV3" s="50" t="str">
        <f t="shared" si="8"/>
        <v>-</v>
      </c>
      <c r="BW3" s="50" t="str">
        <f t="shared" si="8"/>
        <v>-</v>
      </c>
      <c r="BX3" s="50" t="str">
        <f t="shared" si="8"/>
        <v>-</v>
      </c>
      <c r="BY3" s="50" t="str">
        <f t="shared" si="8"/>
        <v>-</v>
      </c>
      <c r="BZ3" s="50" t="str">
        <f t="shared" si="8"/>
        <v>-</v>
      </c>
      <c r="CA3" s="50" t="str">
        <f t="shared" si="8"/>
        <v>-</v>
      </c>
      <c r="CB3" s="50" t="str">
        <f t="shared" si="8"/>
        <v>-</v>
      </c>
      <c r="CC3" s="50" t="str">
        <f t="shared" si="8"/>
        <v>-</v>
      </c>
      <c r="CD3" s="50" t="str">
        <f t="shared" si="8"/>
        <v>-</v>
      </c>
      <c r="CE3" s="50" t="str">
        <f t="shared" ref="CE3" si="9">IF(CE$5="",CD$3,IFERROR(MATCH(CE$5,prodArrayNames,0),"-"))</f>
        <v>-</v>
      </c>
      <c r="CF3" s="50" t="str">
        <f t="shared" ref="CF3" si="10">IF(CF$5="",CE$3,IFERROR(MATCH(CF$5,prodArrayNames,0),"-"))</f>
        <v>-</v>
      </c>
      <c r="CG3" s="50" t="str">
        <f t="shared" ref="CG3:CH3" si="11">IF(CG$5="",CF$3,IFERROR(MATCH(CG$5,prodArrayNames,0),"-"))</f>
        <v>-</v>
      </c>
      <c r="CH3" s="50" t="str">
        <f t="shared" si="11"/>
        <v>-</v>
      </c>
      <c r="CI3" s="50" t="str">
        <f t="shared" si="8"/>
        <v>-</v>
      </c>
      <c r="CJ3" s="253"/>
    </row>
    <row r="4" spans="1:88" ht="14.4" thickBot="1" x14ac:dyDescent="0.35">
      <c r="A4" s="27" t="s">
        <v>149</v>
      </c>
      <c r="B4" s="51" t="str">
        <f t="shared" ref="B4:AK4" si="12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12"/>
        <v/>
      </c>
      <c r="D4" s="51" t="str">
        <f t="shared" si="12"/>
        <v/>
      </c>
      <c r="E4" s="51" t="str">
        <f t="shared" si="12"/>
        <v/>
      </c>
      <c r="F4" s="51" t="str">
        <f t="shared" si="12"/>
        <v>80FF2C22-5522-1364-</v>
      </c>
      <c r="G4" s="51" t="str">
        <f t="shared" si="12"/>
        <v/>
      </c>
      <c r="H4" s="51" t="str">
        <f t="shared" si="12"/>
        <v/>
      </c>
      <c r="I4" s="51" t="str">
        <f t="shared" si="12"/>
        <v/>
      </c>
      <c r="J4" s="51" t="str">
        <f t="shared" si="12"/>
        <v/>
      </c>
      <c r="K4" s="51" t="str">
        <f t="shared" si="12"/>
        <v/>
      </c>
      <c r="L4" s="51" t="str">
        <f t="shared" si="12"/>
        <v/>
      </c>
      <c r="M4" s="51" t="str">
        <f t="shared" si="12"/>
        <v/>
      </c>
      <c r="N4" s="51" t="str">
        <f t="shared" si="12"/>
        <v/>
      </c>
      <c r="O4" s="51" t="str">
        <f t="shared" si="12"/>
        <v/>
      </c>
      <c r="P4" s="51" t="str">
        <f t="shared" si="12"/>
        <v/>
      </c>
      <c r="Q4" s="51" t="str">
        <f t="shared" si="12"/>
        <v/>
      </c>
      <c r="R4" s="51" t="str">
        <f t="shared" si="12"/>
        <v/>
      </c>
      <c r="S4" s="51" t="str">
        <f t="shared" si="12"/>
        <v/>
      </c>
      <c r="T4" s="51" t="str">
        <f t="shared" si="12"/>
        <v/>
      </c>
      <c r="U4" s="51" t="str">
        <f t="shared" si="12"/>
        <v/>
      </c>
      <c r="V4" s="51" t="str">
        <f t="shared" si="12"/>
        <v/>
      </c>
      <c r="W4" s="51" t="str">
        <f t="shared" si="12"/>
        <v/>
      </c>
      <c r="X4" s="51" t="str">
        <f t="shared" si="12"/>
        <v/>
      </c>
      <c r="Y4" s="51" t="str">
        <f t="shared" si="12"/>
        <v/>
      </c>
      <c r="Z4" s="51" t="str">
        <f t="shared" si="12"/>
        <v/>
      </c>
      <c r="AA4" s="51" t="str">
        <f t="shared" si="12"/>
        <v/>
      </c>
      <c r="AB4" s="51" t="str">
        <f t="shared" si="12"/>
        <v/>
      </c>
      <c r="AC4" s="51" t="str">
        <f t="shared" si="12"/>
        <v/>
      </c>
      <c r="AD4" s="51" t="str">
        <f t="shared" si="12"/>
        <v/>
      </c>
      <c r="AE4" s="51" t="str">
        <f t="shared" si="12"/>
        <v/>
      </c>
      <c r="AF4" s="51" t="str">
        <f t="shared" si="12"/>
        <v/>
      </c>
      <c r="AG4" s="51" t="str">
        <f t="shared" si="12"/>
        <v/>
      </c>
      <c r="AH4" s="51" t="str">
        <f t="shared" si="12"/>
        <v/>
      </c>
      <c r="AI4" s="51" t="str">
        <f t="shared" si="12"/>
        <v/>
      </c>
      <c r="AJ4" s="51" t="str">
        <f t="shared" si="12"/>
        <v/>
      </c>
      <c r="AK4" s="51" t="str">
        <f t="shared" si="12"/>
        <v/>
      </c>
      <c r="AL4" s="51" t="str">
        <f t="shared" ref="AL4:BQ4" si="13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13"/>
        <v/>
      </c>
      <c r="AN4" s="51" t="str">
        <f t="shared" si="13"/>
        <v/>
      </c>
      <c r="AO4" s="51" t="str">
        <f t="shared" si="13"/>
        <v/>
      </c>
      <c r="AP4" s="51" t="str">
        <f t="shared" si="13"/>
        <v/>
      </c>
      <c r="AQ4" s="51" t="str">
        <f t="shared" si="13"/>
        <v/>
      </c>
      <c r="AR4" s="51" t="str">
        <f t="shared" si="13"/>
        <v/>
      </c>
      <c r="AS4" s="51" t="str">
        <f t="shared" si="13"/>
        <v/>
      </c>
      <c r="AT4" s="51" t="str">
        <f t="shared" si="13"/>
        <v/>
      </c>
      <c r="AU4" s="51" t="str">
        <f t="shared" si="13"/>
        <v/>
      </c>
      <c r="AV4" s="51" t="str">
        <f t="shared" si="13"/>
        <v/>
      </c>
      <c r="AW4" s="51" t="str">
        <f t="shared" si="13"/>
        <v/>
      </c>
      <c r="AX4" s="51" t="str">
        <f t="shared" si="13"/>
        <v/>
      </c>
      <c r="AY4" s="51" t="str">
        <f t="shared" si="13"/>
        <v/>
      </c>
      <c r="AZ4" s="51" t="str">
        <f t="shared" si="13"/>
        <v/>
      </c>
      <c r="BA4" s="51" t="str">
        <f t="shared" si="13"/>
        <v/>
      </c>
      <c r="BB4" s="51" t="str">
        <f t="shared" si="13"/>
        <v/>
      </c>
      <c r="BC4" s="51" t="str">
        <f t="shared" si="13"/>
        <v>8A28CA24-5822-1288-</v>
      </c>
      <c r="BD4" s="51" t="str">
        <f t="shared" si="13"/>
        <v/>
      </c>
      <c r="BE4" s="51" t="str">
        <f t="shared" si="13"/>
        <v>8A28CA24-5822-1238-</v>
      </c>
      <c r="BF4" s="51" t="str">
        <f t="shared" si="13"/>
        <v/>
      </c>
      <c r="BG4" s="51" t="str">
        <f t="shared" si="13"/>
        <v>81A8CA24-3946-1028-</v>
      </c>
      <c r="BH4" s="51" t="str">
        <f t="shared" si="13"/>
        <v/>
      </c>
      <c r="BI4" s="51" t="str">
        <f t="shared" si="13"/>
        <v>81A8CA24-4880-1272-</v>
      </c>
      <c r="BJ4" s="51" t="str">
        <f t="shared" si="13"/>
        <v/>
      </c>
      <c r="BK4" s="51" t="str">
        <f t="shared" si="13"/>
        <v>8AA8CA24-5926-1008-</v>
      </c>
      <c r="BL4" s="51" t="str">
        <f t="shared" si="13"/>
        <v>8AA8CA24-5926-1247-</v>
      </c>
      <c r="BM4" s="51" t="str">
        <f t="shared" si="13"/>
        <v>8AA8CA24-5926-1473-</v>
      </c>
      <c r="BN4" s="51" t="str">
        <f t="shared" si="13"/>
        <v>8AA8CA24-5926-1473-</v>
      </c>
      <c r="BO4" s="51" t="str">
        <f t="shared" si="13"/>
        <v>81CC0224-5585-1532-</v>
      </c>
      <c r="BP4" s="51" t="str">
        <f t="shared" si="13"/>
        <v/>
      </c>
      <c r="BQ4" s="51" t="str">
        <f t="shared" si="13"/>
        <v/>
      </c>
      <c r="BR4" s="51" t="str">
        <f t="shared" ref="BR4:CI4" si="14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14"/>
        <v/>
      </c>
      <c r="BT4" s="51" t="str">
        <f t="shared" si="14"/>
        <v/>
      </c>
      <c r="BU4" s="51" t="str">
        <f t="shared" si="14"/>
        <v>830C7624-3938-1028-</v>
      </c>
      <c r="BV4" s="51" t="str">
        <f t="shared" si="14"/>
        <v/>
      </c>
      <c r="BW4" s="51" t="str">
        <f t="shared" si="14"/>
        <v>8A44A473-5758-1516-</v>
      </c>
      <c r="BX4" s="51" t="str">
        <f t="shared" si="14"/>
        <v>90547624-3946-1028-</v>
      </c>
      <c r="BY4" s="51" t="str">
        <f t="shared" si="14"/>
        <v/>
      </c>
      <c r="BZ4" s="51" t="str">
        <f t="shared" si="14"/>
        <v>904BA224-3946-1028-</v>
      </c>
      <c r="CA4" s="51" t="str">
        <f t="shared" si="14"/>
        <v/>
      </c>
      <c r="CB4" s="51" t="str">
        <f t="shared" si="14"/>
        <v>97117224-5924-1164-</v>
      </c>
      <c r="CC4" s="51" t="str">
        <f t="shared" si="14"/>
        <v/>
      </c>
      <c r="CD4" s="51" t="str">
        <f t="shared" si="14"/>
        <v>60EBA224-4017-1123-</v>
      </c>
      <c r="CE4" s="51" t="str">
        <f t="shared" si="14"/>
        <v/>
      </c>
      <c r="CF4" s="51" t="str">
        <f t="shared" si="14"/>
        <v>8AE93A24-5924-1164-</v>
      </c>
      <c r="CG4" s="51" t="str">
        <f t="shared" si="14"/>
        <v/>
      </c>
      <c r="CH4" s="51" t="str">
        <f t="shared" si="14"/>
        <v>8D223E24-3946-1028-</v>
      </c>
      <c r="CI4" s="51" t="str">
        <f t="shared" si="14"/>
        <v/>
      </c>
      <c r="CJ4" s="96"/>
    </row>
    <row r="5" spans="1:88" ht="22.5" customHeight="1" thickTop="1" x14ac:dyDescent="0.3">
      <c r="A5" s="28" t="s">
        <v>87</v>
      </c>
      <c r="B5" s="95" t="s">
        <v>1030</v>
      </c>
      <c r="C5" s="95"/>
      <c r="D5" s="95"/>
      <c r="E5" s="95"/>
      <c r="F5" s="95" t="s">
        <v>1279</v>
      </c>
      <c r="G5" s="95"/>
      <c r="H5" s="95" t="s">
        <v>28</v>
      </c>
      <c r="I5" s="95" t="s">
        <v>28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1056</v>
      </c>
      <c r="BD5" s="95"/>
      <c r="BE5" s="95" t="s">
        <v>1119</v>
      </c>
      <c r="BF5" s="95"/>
      <c r="BG5" s="95" t="s">
        <v>1057</v>
      </c>
      <c r="BH5" s="95"/>
      <c r="BI5" s="95" t="s">
        <v>1120</v>
      </c>
      <c r="BJ5" s="95"/>
      <c r="BK5" s="95" t="s">
        <v>1058</v>
      </c>
      <c r="BL5" s="95" t="s">
        <v>1117</v>
      </c>
      <c r="BM5" s="95" t="s">
        <v>1060</v>
      </c>
      <c r="BN5" s="95" t="s">
        <v>1118</v>
      </c>
      <c r="BO5" s="95" t="s">
        <v>601</v>
      </c>
      <c r="BP5" s="95"/>
      <c r="BQ5" s="95" t="s">
        <v>1039</v>
      </c>
      <c r="BR5" s="95" t="s">
        <v>1110</v>
      </c>
      <c r="BS5" s="95"/>
      <c r="BT5" s="95" t="s">
        <v>1039</v>
      </c>
      <c r="BU5" s="95" t="s">
        <v>1167</v>
      </c>
      <c r="BV5" s="215" t="s">
        <v>1039</v>
      </c>
      <c r="BW5" s="95" t="s">
        <v>730</v>
      </c>
      <c r="BX5" s="215" t="s">
        <v>198</v>
      </c>
      <c r="BY5" s="215" t="s">
        <v>1039</v>
      </c>
      <c r="BZ5" s="215" t="s">
        <v>200</v>
      </c>
      <c r="CA5" s="215" t="s">
        <v>1039</v>
      </c>
      <c r="CB5" s="215" t="s">
        <v>202</v>
      </c>
      <c r="CC5" s="215" t="s">
        <v>1039</v>
      </c>
      <c r="CD5" s="215" t="s">
        <v>193</v>
      </c>
      <c r="CE5" s="215" t="s">
        <v>1039</v>
      </c>
      <c r="CF5" s="215" t="s">
        <v>1354</v>
      </c>
      <c r="CG5" s="215" t="s">
        <v>1039</v>
      </c>
      <c r="CH5" s="215" t="s">
        <v>206</v>
      </c>
      <c r="CI5" s="215" t="s">
        <v>1039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1281</v>
      </c>
      <c r="BL6" s="17" t="s">
        <v>1281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1102</v>
      </c>
      <c r="BR6" s="17">
        <v>2.1000000000000001E-2</v>
      </c>
      <c r="BS6" s="17">
        <v>0.03</v>
      </c>
      <c r="BT6" s="211" t="s">
        <v>1111</v>
      </c>
      <c r="BU6" s="17">
        <v>0</v>
      </c>
      <c r="BV6" s="17" t="s">
        <v>1169</v>
      </c>
      <c r="BW6" s="17">
        <v>-9999</v>
      </c>
      <c r="BX6" s="216">
        <v>96</v>
      </c>
      <c r="BY6" s="217" t="s">
        <v>1041</v>
      </c>
      <c r="BZ6" s="216">
        <v>1</v>
      </c>
      <c r="CA6" s="217" t="s">
        <v>1042</v>
      </c>
      <c r="CB6" s="216">
        <v>91</v>
      </c>
      <c r="CC6" s="217" t="s">
        <v>1043</v>
      </c>
      <c r="CD6" s="216">
        <v>64</v>
      </c>
      <c r="CE6" s="217" t="s">
        <v>1044</v>
      </c>
      <c r="CF6" s="216">
        <v>21</v>
      </c>
      <c r="CG6" s="217" t="s">
        <v>1355</v>
      </c>
      <c r="CH6" s="216">
        <v>1</v>
      </c>
      <c r="CI6" s="217" t="s">
        <v>1045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1282</v>
      </c>
      <c r="BL7" s="17" t="s">
        <v>1282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1103</v>
      </c>
      <c r="BR7" s="17">
        <v>4.2000000000000003E-2</v>
      </c>
      <c r="BS7" s="17">
        <v>1.4999999999999999E-2</v>
      </c>
      <c r="BT7" s="211" t="s">
        <v>1112</v>
      </c>
      <c r="BU7" s="17">
        <v>0</v>
      </c>
      <c r="BV7" s="17" t="s">
        <v>1170</v>
      </c>
      <c r="BW7" s="17">
        <v>0</v>
      </c>
      <c r="BX7" s="216">
        <v>2</v>
      </c>
      <c r="BY7" s="217" t="s">
        <v>1061</v>
      </c>
      <c r="BZ7" s="216">
        <v>1</v>
      </c>
      <c r="CA7" s="217" t="s">
        <v>1050</v>
      </c>
      <c r="CB7" s="216">
        <v>91</v>
      </c>
      <c r="CC7" s="217" t="s">
        <v>1051</v>
      </c>
      <c r="CD7" s="216">
        <v>64</v>
      </c>
      <c r="CE7" s="217" t="s">
        <v>1052</v>
      </c>
      <c r="CF7" s="217"/>
      <c r="CG7" s="217"/>
      <c r="CH7" s="216">
        <v>1</v>
      </c>
      <c r="CI7" s="217" t="s">
        <v>1040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1282</v>
      </c>
      <c r="BL8" s="17" t="s">
        <v>1282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1113</v>
      </c>
      <c r="BU8" s="17">
        <v>0</v>
      </c>
      <c r="BV8" s="17" t="s">
        <v>1171</v>
      </c>
      <c r="BW8" s="17">
        <v>-9999</v>
      </c>
      <c r="BX8" s="216">
        <v>3</v>
      </c>
      <c r="BY8" s="217" t="s">
        <v>1062</v>
      </c>
      <c r="BZ8" s="216">
        <v>1</v>
      </c>
      <c r="CA8" s="217" t="s">
        <v>1063</v>
      </c>
      <c r="CB8" s="216">
        <v>91</v>
      </c>
      <c r="CC8" s="217" t="s">
        <v>1064</v>
      </c>
      <c r="CD8" s="216">
        <v>64</v>
      </c>
      <c r="CE8" s="217" t="s">
        <v>1065</v>
      </c>
      <c r="CF8" s="217"/>
      <c r="CG8" s="217"/>
      <c r="CH8" s="216">
        <v>1</v>
      </c>
      <c r="CI8" s="217" t="s">
        <v>1066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AD9" s="211"/>
      <c r="AF9" s="211"/>
      <c r="AH9" s="211"/>
      <c r="AJ9" s="211"/>
      <c r="AL9" s="211"/>
      <c r="BU9" s="17">
        <v>0</v>
      </c>
      <c r="BV9" s="17" t="s">
        <v>1172</v>
      </c>
      <c r="BW9" s="17">
        <v>0</v>
      </c>
      <c r="BX9" s="216">
        <v>96</v>
      </c>
      <c r="BY9" s="217" t="s">
        <v>1067</v>
      </c>
      <c r="BZ9" s="216">
        <v>1</v>
      </c>
      <c r="CA9" s="217" t="s">
        <v>1068</v>
      </c>
      <c r="CB9" s="216">
        <v>91</v>
      </c>
      <c r="CC9" s="217" t="s">
        <v>1069</v>
      </c>
      <c r="CD9" s="216">
        <v>64</v>
      </c>
      <c r="CE9" s="217" t="s">
        <v>1070</v>
      </c>
      <c r="CF9" s="217"/>
      <c r="CG9" s="217"/>
      <c r="CH9" s="216">
        <v>1</v>
      </c>
      <c r="CI9" s="217" t="s">
        <v>1071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AD10" s="211"/>
      <c r="AF10" s="211"/>
      <c r="AH10" s="211"/>
      <c r="AJ10" s="211"/>
      <c r="AL10" s="211"/>
      <c r="BU10" s="17">
        <v>90</v>
      </c>
      <c r="BV10" s="17" t="s">
        <v>1173</v>
      </c>
      <c r="BX10" s="216">
        <v>3</v>
      </c>
      <c r="BY10" s="217" t="s">
        <v>1072</v>
      </c>
      <c r="BZ10" s="216">
        <v>1</v>
      </c>
      <c r="CA10" s="217" t="s">
        <v>1073</v>
      </c>
      <c r="CB10" s="216">
        <v>91</v>
      </c>
      <c r="CC10" s="217" t="s">
        <v>1074</v>
      </c>
      <c r="CD10" s="216">
        <v>64</v>
      </c>
      <c r="CE10" s="217" t="s">
        <v>1075</v>
      </c>
      <c r="CF10" s="217"/>
      <c r="CG10" s="217"/>
      <c r="CH10" s="216">
        <v>1</v>
      </c>
      <c r="CI10" s="217" t="s">
        <v>1076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AD11" s="211"/>
      <c r="AF11" s="211"/>
      <c r="AH11" s="211"/>
      <c r="AJ11" s="211"/>
      <c r="BU11" s="17">
        <v>0</v>
      </c>
      <c r="BV11" s="17" t="s">
        <v>1174</v>
      </c>
      <c r="BX11" s="216">
        <v>100</v>
      </c>
      <c r="BY11" s="217" t="s">
        <v>1077</v>
      </c>
      <c r="BZ11" s="216">
        <v>1</v>
      </c>
      <c r="CA11" s="217" t="s">
        <v>1078</v>
      </c>
      <c r="CB11" s="216">
        <v>91</v>
      </c>
      <c r="CC11" s="217" t="s">
        <v>1079</v>
      </c>
      <c r="CD11" s="216">
        <v>64</v>
      </c>
      <c r="CE11" s="217" t="s">
        <v>1080</v>
      </c>
      <c r="CF11" s="217"/>
      <c r="CG11" s="217"/>
      <c r="CH11" s="216">
        <v>1</v>
      </c>
      <c r="CI11" s="217" t="s">
        <v>1081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AD12" s="211"/>
      <c r="AF12" s="211"/>
      <c r="AH12" s="211"/>
      <c r="AJ12" s="211"/>
      <c r="BX12" s="216">
        <v>96</v>
      </c>
      <c r="BY12" s="217" t="s">
        <v>1164</v>
      </c>
      <c r="BZ12" s="216">
        <v>1</v>
      </c>
      <c r="CA12" s="217" t="s">
        <v>1082</v>
      </c>
      <c r="CB12" s="216">
        <v>91</v>
      </c>
      <c r="CC12" s="217" t="s">
        <v>1083</v>
      </c>
      <c r="CD12" s="216">
        <v>64</v>
      </c>
      <c r="CE12" s="217" t="s">
        <v>1084</v>
      </c>
      <c r="CF12" s="217"/>
      <c r="CG12" s="217"/>
      <c r="CH12" s="216">
        <v>1</v>
      </c>
      <c r="CI12" s="217" t="s">
        <v>1085</v>
      </c>
    </row>
    <row r="13" spans="1:88" ht="22.5" customHeight="1" x14ac:dyDescent="0.3">
      <c r="F13" s="17">
        <v>2.2959999999999998</v>
      </c>
      <c r="G13" s="17">
        <v>1.6850000000000001</v>
      </c>
      <c r="AD13" s="211"/>
      <c r="AF13" s="211"/>
      <c r="AH13" s="211"/>
      <c r="AJ13" s="211"/>
      <c r="BX13" s="216">
        <v>96</v>
      </c>
      <c r="BY13" s="217" t="s">
        <v>1166</v>
      </c>
      <c r="BZ13" s="216">
        <v>1</v>
      </c>
      <c r="CA13" s="217" t="s">
        <v>1086</v>
      </c>
      <c r="CB13" s="216">
        <v>91</v>
      </c>
      <c r="CC13" s="217" t="s">
        <v>1087</v>
      </c>
      <c r="CD13" s="216">
        <v>64</v>
      </c>
      <c r="CE13" s="217" t="s">
        <v>1088</v>
      </c>
      <c r="CF13" s="217"/>
      <c r="CG13" s="217"/>
      <c r="CH13" s="216">
        <v>1</v>
      </c>
      <c r="CI13" s="217" t="s">
        <v>1089</v>
      </c>
    </row>
    <row r="14" spans="1:88" ht="22.5" customHeight="1" x14ac:dyDescent="0.3">
      <c r="F14" s="17">
        <v>2.4209999999999998</v>
      </c>
      <c r="G14" s="17">
        <v>1.81</v>
      </c>
      <c r="AD14" s="211"/>
      <c r="AF14" s="211"/>
      <c r="AH14" s="211"/>
      <c r="AJ14" s="211"/>
      <c r="BX14" s="216">
        <v>96</v>
      </c>
      <c r="BY14" s="217" t="s">
        <v>1165</v>
      </c>
      <c r="BZ14" s="216">
        <v>1</v>
      </c>
      <c r="CA14" s="217" t="s">
        <v>1121</v>
      </c>
      <c r="CB14" s="216">
        <v>91</v>
      </c>
      <c r="CC14" s="217" t="s">
        <v>1124</v>
      </c>
      <c r="CD14" s="216">
        <v>64</v>
      </c>
      <c r="CE14" s="217" t="s">
        <v>1129</v>
      </c>
      <c r="CF14" s="217"/>
      <c r="CG14" s="217"/>
      <c r="CH14" s="216">
        <v>1</v>
      </c>
      <c r="CI14" s="217" t="s">
        <v>1090</v>
      </c>
    </row>
    <row r="15" spans="1:88" ht="22.5" customHeight="1" x14ac:dyDescent="0.3">
      <c r="F15" s="17">
        <v>2.5459999999999998</v>
      </c>
      <c r="G15" s="17">
        <v>1.9350000000000001</v>
      </c>
      <c r="AD15" s="211"/>
      <c r="AF15" s="211"/>
      <c r="AH15" s="211"/>
      <c r="AJ15" s="211"/>
      <c r="BX15" s="216">
        <v>2</v>
      </c>
      <c r="BY15" s="217" t="s">
        <v>1211</v>
      </c>
      <c r="BZ15" s="216">
        <v>1</v>
      </c>
      <c r="CA15" s="217" t="s">
        <v>1122</v>
      </c>
      <c r="CB15" s="216">
        <v>91</v>
      </c>
      <c r="CC15" s="217" t="s">
        <v>1125</v>
      </c>
      <c r="CD15" s="216">
        <v>64</v>
      </c>
      <c r="CE15" s="217" t="s">
        <v>1128</v>
      </c>
      <c r="CF15" s="217"/>
      <c r="CG15" s="217"/>
      <c r="CH15" s="216">
        <v>1</v>
      </c>
      <c r="CI15" s="217" t="s">
        <v>1091</v>
      </c>
    </row>
    <row r="16" spans="1:88" ht="22.5" customHeight="1" x14ac:dyDescent="0.3">
      <c r="F16" s="17">
        <v>2.6709999999999998</v>
      </c>
      <c r="G16" s="17">
        <v>2.06</v>
      </c>
      <c r="AD16" s="211"/>
      <c r="AF16" s="211"/>
      <c r="AH16" s="211"/>
      <c r="AJ16" s="211"/>
      <c r="BX16" s="216">
        <v>1</v>
      </c>
      <c r="BY16" s="217" t="s">
        <v>1347</v>
      </c>
      <c r="BZ16" s="216">
        <v>1</v>
      </c>
      <c r="CA16" s="217" t="s">
        <v>1123</v>
      </c>
      <c r="CB16" s="216">
        <v>91</v>
      </c>
      <c r="CC16" s="217" t="s">
        <v>1126</v>
      </c>
      <c r="CD16" s="216">
        <v>64</v>
      </c>
      <c r="CE16" s="217" t="s">
        <v>1127</v>
      </c>
      <c r="CF16" s="217"/>
      <c r="CG16" s="217"/>
      <c r="CH16" s="216">
        <v>1</v>
      </c>
      <c r="CI16" s="217" t="s">
        <v>1092</v>
      </c>
    </row>
    <row r="17" spans="6:87" ht="22.5" customHeight="1" x14ac:dyDescent="0.3">
      <c r="F17" s="17">
        <v>2.7959999999999998</v>
      </c>
      <c r="G17" s="17">
        <v>2.1850000000000001</v>
      </c>
      <c r="AD17" s="211"/>
      <c r="AF17" s="211"/>
      <c r="AH17" s="211"/>
      <c r="AJ17" s="211"/>
      <c r="BX17" s="216">
        <v>2</v>
      </c>
      <c r="BY17" s="217" t="s">
        <v>1348</v>
      </c>
      <c r="BZ17" s="216">
        <v>1</v>
      </c>
      <c r="CA17" s="217" t="s">
        <v>1212</v>
      </c>
      <c r="CB17" s="216">
        <v>91</v>
      </c>
      <c r="CC17" s="217" t="s">
        <v>1213</v>
      </c>
      <c r="CD17" s="216">
        <v>64</v>
      </c>
      <c r="CE17" s="217" t="s">
        <v>1214</v>
      </c>
      <c r="CF17" s="217"/>
      <c r="CG17" s="217"/>
      <c r="CH17" s="216">
        <v>1</v>
      </c>
      <c r="CI17" s="217" t="s">
        <v>1093</v>
      </c>
    </row>
    <row r="18" spans="6:87" ht="22.5" customHeight="1" x14ac:dyDescent="0.3">
      <c r="F18" s="17">
        <v>2.9209999999999998</v>
      </c>
      <c r="G18" s="17">
        <v>2.31</v>
      </c>
      <c r="AD18" s="211"/>
      <c r="AF18" s="211"/>
      <c r="AH18" s="211"/>
      <c r="AJ18" s="211"/>
      <c r="BX18" s="216">
        <v>2</v>
      </c>
      <c r="BY18" s="217" t="s">
        <v>1349</v>
      </c>
      <c r="BZ18" s="216">
        <v>1</v>
      </c>
      <c r="CA18" s="217" t="s">
        <v>1350</v>
      </c>
      <c r="CB18" s="216">
        <v>91</v>
      </c>
      <c r="CC18" s="217" t="s">
        <v>1351</v>
      </c>
      <c r="CD18" s="216">
        <v>64</v>
      </c>
      <c r="CE18" s="217" t="s">
        <v>1352</v>
      </c>
      <c r="CF18" s="217"/>
      <c r="CG18" s="217"/>
      <c r="CH18" s="216">
        <v>1</v>
      </c>
      <c r="CI18" s="217" t="s">
        <v>1094</v>
      </c>
    </row>
    <row r="19" spans="6:87" ht="22.5" customHeight="1" x14ac:dyDescent="0.3">
      <c r="F19" s="17">
        <v>3.0459999999999998</v>
      </c>
      <c r="G19" s="17">
        <v>2.4350000000000001</v>
      </c>
      <c r="AD19" s="211"/>
      <c r="AF19" s="211"/>
      <c r="AH19" s="211"/>
      <c r="AJ19" s="211"/>
      <c r="BX19" s="216">
        <v>2</v>
      </c>
      <c r="BY19" s="217" t="s">
        <v>1046</v>
      </c>
      <c r="BZ19" s="216">
        <v>1</v>
      </c>
      <c r="CA19" s="217" t="s">
        <v>1047</v>
      </c>
      <c r="CB19" s="216">
        <v>91</v>
      </c>
      <c r="CC19" s="217" t="s">
        <v>1048</v>
      </c>
      <c r="CD19" s="216">
        <v>64</v>
      </c>
      <c r="CE19" s="217" t="s">
        <v>1049</v>
      </c>
      <c r="CF19" s="217"/>
      <c r="CG19" s="217"/>
      <c r="CH19" s="216">
        <v>1</v>
      </c>
      <c r="CI19" s="217" t="s">
        <v>1095</v>
      </c>
    </row>
    <row r="20" spans="6:87" ht="22.5" customHeight="1" x14ac:dyDescent="0.3">
      <c r="F20" s="17">
        <v>3.1709999999999998</v>
      </c>
      <c r="G20" s="17">
        <v>2.56</v>
      </c>
      <c r="AD20" s="211"/>
      <c r="AF20" s="211"/>
      <c r="AH20" s="211"/>
      <c r="AJ20" s="211"/>
      <c r="BX20" s="216">
        <v>2</v>
      </c>
      <c r="BY20" s="217" t="s">
        <v>1046</v>
      </c>
      <c r="BZ20" s="216">
        <v>1</v>
      </c>
      <c r="CA20" s="217" t="s">
        <v>1047</v>
      </c>
      <c r="CB20" s="216">
        <v>91</v>
      </c>
      <c r="CC20" s="217" t="s">
        <v>1048</v>
      </c>
      <c r="CD20" s="216">
        <v>64</v>
      </c>
      <c r="CE20" s="217" t="s">
        <v>1049</v>
      </c>
      <c r="CF20" s="217"/>
      <c r="CG20" s="217"/>
      <c r="CH20" s="216">
        <v>1</v>
      </c>
      <c r="CI20" s="217" t="s">
        <v>1096</v>
      </c>
    </row>
    <row r="21" spans="6:87" ht="22.5" customHeight="1" x14ac:dyDescent="0.3">
      <c r="F21" s="17">
        <v>3.2959999999999998</v>
      </c>
      <c r="G21" s="17">
        <v>2.6850000000000001</v>
      </c>
      <c r="BX21" s="216"/>
      <c r="BY21" s="216"/>
      <c r="BZ21" s="216"/>
      <c r="CA21" s="216"/>
      <c r="CB21" s="216"/>
      <c r="CC21" s="216"/>
      <c r="CD21" s="216"/>
      <c r="CE21" s="216"/>
      <c r="CF21" s="216"/>
      <c r="CG21" s="216"/>
      <c r="CH21" s="216">
        <v>1</v>
      </c>
      <c r="CI21" s="217" t="s">
        <v>1097</v>
      </c>
    </row>
    <row r="22" spans="6:87" ht="22.5" customHeight="1" x14ac:dyDescent="0.3">
      <c r="F22" s="17">
        <v>3.4209999999999998</v>
      </c>
      <c r="G22" s="17">
        <v>2.81</v>
      </c>
      <c r="BX22" s="216"/>
      <c r="BY22" s="216"/>
      <c r="BZ22" s="216"/>
      <c r="CA22" s="216"/>
      <c r="CB22" s="216"/>
      <c r="CC22" s="216"/>
      <c r="CD22" s="216"/>
      <c r="CE22" s="216"/>
      <c r="CF22" s="216"/>
      <c r="CG22" s="216"/>
      <c r="CH22" s="216">
        <v>1</v>
      </c>
      <c r="CI22" s="217" t="s">
        <v>1098</v>
      </c>
    </row>
    <row r="23" spans="6:87" ht="22.5" customHeight="1" x14ac:dyDescent="0.3">
      <c r="F23" s="17">
        <v>3.5459999999999998</v>
      </c>
      <c r="G23" s="17">
        <v>2.9350000000000001</v>
      </c>
      <c r="BX23" s="216"/>
      <c r="BY23" s="216"/>
      <c r="BZ23" s="216"/>
      <c r="CA23" s="216"/>
      <c r="CB23" s="216"/>
      <c r="CC23" s="216"/>
      <c r="CD23" s="216"/>
      <c r="CE23" s="216"/>
      <c r="CF23" s="216"/>
      <c r="CG23" s="216"/>
      <c r="CH23" s="216">
        <v>1</v>
      </c>
      <c r="CI23" s="217" t="s">
        <v>1099</v>
      </c>
    </row>
    <row r="24" spans="6:87" ht="22.5" customHeight="1" x14ac:dyDescent="0.3">
      <c r="F24" s="17">
        <v>3.6709999999999998</v>
      </c>
      <c r="G24" s="17">
        <v>3.06</v>
      </c>
      <c r="CH24" s="216">
        <v>1</v>
      </c>
      <c r="CI24" s="217" t="s">
        <v>1130</v>
      </c>
    </row>
    <row r="25" spans="6:87" ht="22.5" customHeight="1" x14ac:dyDescent="0.3">
      <c r="F25" s="17">
        <v>3.7959999999999998</v>
      </c>
      <c r="G25" s="17">
        <v>3.1850000000000001</v>
      </c>
      <c r="CH25" s="216">
        <v>1</v>
      </c>
      <c r="CI25" s="217" t="s">
        <v>1131</v>
      </c>
    </row>
    <row r="26" spans="6:87" ht="22.5" customHeight="1" x14ac:dyDescent="0.3">
      <c r="F26" s="17">
        <v>3.9209999999999998</v>
      </c>
      <c r="G26" s="17">
        <v>3.31</v>
      </c>
      <c r="CH26" s="216">
        <v>1</v>
      </c>
      <c r="CI26" s="217" t="s">
        <v>1132</v>
      </c>
    </row>
    <row r="27" spans="6:87" ht="22.5" customHeight="1" x14ac:dyDescent="0.3">
      <c r="F27" s="17">
        <v>4.0460000000000003</v>
      </c>
      <c r="G27" s="17">
        <v>3.4350000000000001</v>
      </c>
      <c r="CH27" s="216">
        <v>1</v>
      </c>
      <c r="CI27" s="217" t="s">
        <v>1133</v>
      </c>
    </row>
    <row r="28" spans="6:87" ht="22.5" customHeight="1" x14ac:dyDescent="0.3">
      <c r="CH28" s="216">
        <v>1</v>
      </c>
      <c r="CI28" s="217" t="s">
        <v>1134</v>
      </c>
    </row>
    <row r="29" spans="6:87" ht="22.5" customHeight="1" x14ac:dyDescent="0.3">
      <c r="CH29" s="216">
        <v>1</v>
      </c>
      <c r="CI29" s="217" t="s">
        <v>1135</v>
      </c>
    </row>
    <row r="30" spans="6:87" ht="22.5" customHeight="1" x14ac:dyDescent="0.3">
      <c r="CH30" s="216">
        <v>1</v>
      </c>
      <c r="CI30" s="217" t="s">
        <v>1136</v>
      </c>
    </row>
    <row r="31" spans="6:87" ht="22.5" customHeight="1" x14ac:dyDescent="0.3">
      <c r="CH31" s="216">
        <v>1</v>
      </c>
      <c r="CI31" s="217" t="s">
        <v>1137</v>
      </c>
    </row>
    <row r="32" spans="6:87" ht="22.5" customHeight="1" x14ac:dyDescent="0.3">
      <c r="CH32" s="216">
        <v>1</v>
      </c>
      <c r="CI32" s="217" t="s">
        <v>1242</v>
      </c>
    </row>
    <row r="33" spans="86:87" ht="22.5" customHeight="1" x14ac:dyDescent="0.3">
      <c r="CH33" s="216">
        <v>1</v>
      </c>
      <c r="CI33" s="217" t="s">
        <v>1353</v>
      </c>
    </row>
    <row r="34" spans="86:87" ht="22.5" customHeight="1" x14ac:dyDescent="0.3">
      <c r="CH34" s="216">
        <v>1</v>
      </c>
      <c r="CI34" s="217" t="s">
        <v>1243</v>
      </c>
    </row>
    <row r="35" spans="86:87" ht="22.5" customHeight="1" x14ac:dyDescent="0.3">
      <c r="CH35" s="216">
        <v>1</v>
      </c>
      <c r="CI35" s="217" t="s">
        <v>1243</v>
      </c>
    </row>
    <row r="36" spans="86:87" ht="22.5" customHeight="1" x14ac:dyDescent="0.3">
      <c r="CH36" s="216">
        <v>1</v>
      </c>
      <c r="CI36" s="217" t="s">
        <v>1243</v>
      </c>
    </row>
    <row r="37" spans="86:87" ht="22.5" customHeight="1" x14ac:dyDescent="0.3">
      <c r="CH37" s="216">
        <v>1</v>
      </c>
      <c r="CI37" s="217" t="s">
        <v>1243</v>
      </c>
    </row>
    <row r="38" spans="86:87" ht="22.5" customHeight="1" x14ac:dyDescent="0.3">
      <c r="CH38" s="216">
        <v>1</v>
      </c>
      <c r="CI38" s="217" t="s">
        <v>1243</v>
      </c>
    </row>
    <row r="39" spans="86:87" ht="22.5" customHeight="1" x14ac:dyDescent="0.3"/>
    <row r="40" spans="86:87" ht="22.5" customHeight="1" x14ac:dyDescent="0.3"/>
    <row r="41" spans="86:87" ht="22.5" customHeight="1" x14ac:dyDescent="0.3"/>
    <row r="42" spans="86:87" ht="22.5" customHeight="1" x14ac:dyDescent="0.3"/>
    <row r="43" spans="86:87" ht="22.5" customHeight="1" x14ac:dyDescent="0.3"/>
    <row r="44" spans="86:87" ht="22.5" customHeight="1" x14ac:dyDescent="0.3"/>
    <row r="45" spans="86:87" ht="22.5" customHeight="1" x14ac:dyDescent="0.3"/>
    <row r="46" spans="86:87" ht="22.5" customHeight="1" x14ac:dyDescent="0.3"/>
    <row r="47" spans="86:87" ht="22.5" customHeight="1" x14ac:dyDescent="0.3"/>
    <row r="48" spans="86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S97"/>
  <sheetViews>
    <sheetView showZeros="0" zoomScaleNormal="100" zoomScaleSheetLayoutView="100" workbookViewId="0">
      <selection activeCell="A5" sqref="A5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4" width="21.5546875" style="17" customWidth="1"/>
    <col min="5" max="5" width="4.5546875" style="17" customWidth="1"/>
    <col min="6" max="6" width="19.5546875" style="17" bestFit="1" customWidth="1"/>
    <col min="7" max="7" width="5.88671875" style="17" customWidth="1"/>
    <col min="8" max="10" width="18.33203125" style="17"/>
    <col min="11" max="11" width="25.88671875" style="17" customWidth="1"/>
    <col min="12" max="12" width="20" style="17" customWidth="1"/>
    <col min="13" max="13" width="24.88671875" style="17" bestFit="1" customWidth="1"/>
    <col min="14" max="14" width="25.88671875" style="17" bestFit="1" customWidth="1"/>
    <col min="15" max="16" width="19.88671875" style="17" bestFit="1" customWidth="1"/>
    <col min="17" max="17" width="22" style="17" bestFit="1" customWidth="1"/>
    <col min="18" max="18" width="24.88671875" style="17" bestFit="1" customWidth="1"/>
    <col min="19" max="19" width="25.88671875" style="17" bestFit="1" customWidth="1"/>
    <col min="20" max="21" width="19.88671875" style="17" bestFit="1" customWidth="1"/>
    <col min="22" max="69" width="18.33203125" style="17"/>
    <col min="70" max="70" width="18.33203125" style="24"/>
    <col min="71" max="16384" width="18.33203125" style="14"/>
  </cols>
  <sheetData>
    <row r="1" spans="1:71" s="139" customFormat="1" x14ac:dyDescent="0.3">
      <c r="A1" s="26" t="s">
        <v>145</v>
      </c>
      <c r="B1" s="50" t="str">
        <f t="shared" ref="B1:K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O2 | O3 | E2 | E3 | KO2 | KO3 | P | F | ...</v>
      </c>
      <c r="C1" s="50" t="str">
        <f t="shared" si="0"/>
        <v/>
      </c>
      <c r="D1" s="50" t="str">
        <f t="shared" si="0"/>
        <v>eingebohrt | aufgeschraubt | eingestemmt | angeschweißt | Bandaufnahme</v>
      </c>
      <c r="E1" s="50" t="str">
        <f t="shared" si="0"/>
        <v xml:space="preserve">  | ST | ES | AL | XX</v>
      </c>
      <c r="F1" s="50" t="str">
        <f t="shared" si="0"/>
        <v/>
      </c>
      <c r="G1" s="50" t="str">
        <f t="shared" si="0"/>
        <v xml:space="preserve">  | - | B | S | T | P | N | L | ...</v>
      </c>
      <c r="H1" s="50" t="str">
        <f t="shared" si="0"/>
        <v/>
      </c>
      <c r="I1" s="50" t="str">
        <f t="shared" si="0"/>
        <v>- | 2D | 3D</v>
      </c>
      <c r="J1" s="50" t="str">
        <f t="shared" si="0"/>
        <v>2 | 3 | 4</v>
      </c>
      <c r="K1" s="50" t="str">
        <f t="shared" si="0"/>
        <v>0,035</v>
      </c>
      <c r="L1" s="50" t="str">
        <f t="shared" ref="L1:V1" si="1">IF(L$5="","",IF(INDEX(VALUESLIST,2,COLUMN(L1)-1)="","",INDEX(VALUESLIST,2,COLUMN(L1)-1)) &amp; IF(INDEX(VALUESLIST,3,COLUMN(L1)-1)="","",DV&amp;INDEX(VALUESLIST,3,COLUMN(L1)-1)) &amp; IF(INDEX(VALUESLIST,4,COLUMN(L1)-1)="","",DV&amp;INDEX(VALUESLIST,4,COLUMN(L1)-1)) &amp; IF(INDEX(VALUESLIST,5,COLUMN(L1)-1)="","",DV&amp;INDEX(VALUESLIST,5,COLUMN(L1)-1)) &amp; IF(INDEX(VALUESLIST,6,COLUMN(L1)-1)="","",DV&amp;INDEX(VALUESLIST,6,COLUMN(L1)-1)) &amp; IF(INDEX(VALUESLIST,7,COLUMN(L1)-1)="","",DV&amp;INDEX(VALUESLIST,7,COLUMN(L1)-1)) &amp; IF(INDEX(VALUESLIST,8,COLUMN(L1)-1)="","",DV&amp;INDEX(VALUESLIST,8,COLUMN(L1)-1)) &amp; IF(INDEX(VALUESLIST,9,COLUMN(L1)-1)="","",DV&amp;INDEX(VALUESLIST,9,COLUMN(L1)-1)) &amp; IF(INDEX(VALUESLIST,10,COLUMN(L1)-1)="","",DV&amp;"..."))</f>
        <v>0,02</v>
      </c>
      <c r="M1" s="50" t="str">
        <f t="shared" si="1"/>
        <v>0,04 | 0,06</v>
      </c>
      <c r="N1" s="50" t="str">
        <f t="shared" si="1"/>
        <v>0,04 | 0,05</v>
      </c>
      <c r="O1" s="50" t="str">
        <f t="shared" si="1"/>
        <v>0,0205 | 0,0285</v>
      </c>
      <c r="P1" s="50" t="str">
        <f t="shared" si="1"/>
        <v>0,012 | 0,013</v>
      </c>
      <c r="Q1" s="50" t="str">
        <f t="shared" si="1"/>
        <v>0,35</v>
      </c>
      <c r="R1" s="50" t="str">
        <f t="shared" si="1"/>
        <v>0,35</v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ref="W1:BP1" si="2">IF(W$5="","",IF(INDEX(VALUESLIST,2,COLUMN(W1)-1)="","",INDEX(VALUESLIST,2,COLUMN(W1)-1)) &amp; IF(INDEX(VALUESLIST,3,COLUMN(W1)-1)="","",DV&amp;INDEX(VALUESLIST,3,COLUMN(W1)-1)) &amp; IF(INDEX(VALUESLIST,4,COLUMN(W1)-1)="","",DV&amp;INDEX(VALUESLIST,4,COLUMN(W1)-1)) &amp; IF(INDEX(VALUESLIST,5,COLUMN(W1)-1)="","",DV&amp;INDEX(VALUESLIST,5,COLUMN(W1)-1)) &amp; IF(INDEX(VALUESLIST,6,COLUMN(W1)-1)="","",DV&amp;INDEX(VALUESLIST,6,COLUMN(W1)-1)) &amp; IF(INDEX(VALUESLIST,7,COLUMN(W1)-1)="","",DV&amp;INDEX(VALUESLIST,7,COLUMN(W1)-1)) &amp; IF(INDEX(VALUESLIST,8,COLUMN(W1)-1)="","",DV&amp;INDEX(VALUESLIST,8,COLUMN(W1)-1)) &amp; IF(INDEX(VALUESLIST,9,COLUMN(W1)-1)="","",DV&amp;INDEX(VALUESLIST,9,COLUMN(W1)-1)) &amp; IF(INDEX(VALUESLIST,10,COLUMN(W1)-1)="","",DV&amp;"..."))</f>
        <v/>
      </c>
      <c r="X1" s="50" t="str">
        <f t="shared" si="2"/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>IF(BQ$5="","",IF(INDEX(VALUESLIST,2,COLUMN(BQ1)-1)="","",INDEX(VALUESLIST,2,COLUMN(BQ1)-1)) &amp; IF(INDEX(VALUESLIST,3,COLUMN(BQ1)-1)="","",DV&amp;INDEX(VALUESLIST,3,COLUMN(BQ1)-1)) &amp; IF(INDEX(VALUESLIST,4,COLUMN(BQ1)-1)="","",DV&amp;INDEX(VALUESLIST,4,COLUMN(BQ1)-1)) &amp; IF(INDEX(VALUESLIST,5,COLUMN(BQ1)-1)="","",DV&amp;INDEX(VALUESLIST,5,COLUMN(BQ1)-1)) &amp; IF(INDEX(VALUESLIST,6,COLUMN(BQ1)-1)="","",DV&amp;INDEX(VALUESLIST,6,COLUMN(BQ1)-1)) &amp; IF(INDEX(VALUESLIST,7,COLUMN(BQ1)-1)="","",DV&amp;INDEX(VALUESLIST,7,COLUMN(BQ1)-1)) &amp; IF(INDEX(VALUESLIST,8,COLUMN(BQ1)-1)="","",DV&amp;INDEX(VALUESLIST,8,COLUMN(BQ1)-1)) &amp; IF(INDEX(VALUESLIST,9,COLUMN(BQ1)-1)="","",DV&amp;INDEX(VALUESLIST,9,COLUMN(BQ1)-1)) &amp; IF(INDEX(VALUESLIST,10,COLUMN(BQ1)-1)="","",DV&amp;"..."))</f>
        <v>0 | 1 | 2 | 3 | 4 | 5 | 6 | 7 | ...</v>
      </c>
      <c r="BR1" s="94" t="s">
        <v>88</v>
      </c>
    </row>
    <row r="2" spans="1:71" x14ac:dyDescent="0.3">
      <c r="A2" s="27" t="s">
        <v>146</v>
      </c>
      <c r="B2" s="34" t="str">
        <f t="shared" ref="B2:W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:K2" si="4">IF(F$3="-","-",IF(F$3=E$3,E$2+1,1))</f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3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>IF(X$3="-","-",IF(X$3=H$3,H$2+1,1))</f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 t="shared" ref="AA2:BQ2" si="5">IF(AA$3="-","-",IF(AA$3=Z$3,Z$2+1,1))</f>
        <v>-</v>
      </c>
      <c r="AB2" s="34" t="str">
        <f t="shared" si="5"/>
        <v>-</v>
      </c>
      <c r="AC2" s="34" t="str">
        <f t="shared" si="5"/>
        <v>-</v>
      </c>
      <c r="AD2" s="34" t="str">
        <f t="shared" si="5"/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94"/>
    </row>
    <row r="3" spans="1:71" x14ac:dyDescent="0.3">
      <c r="A3" s="27" t="s">
        <v>147</v>
      </c>
      <c r="B3" s="50" t="str">
        <f t="shared" ref="B3:K3" si="6">IF(B$5="",A$3,IFERROR(MATCH(B$5,prodArrayNames,0),"-"))</f>
        <v>-</v>
      </c>
      <c r="C3" s="50" t="str">
        <f t="shared" ref="C3:E3" si="7">IF(C$5="",B$3,IFERROR(MATCH(C$5,prodArrayNames,0),"-"))</f>
        <v>-</v>
      </c>
      <c r="D3" s="50" t="str">
        <f t="shared" si="7"/>
        <v>-</v>
      </c>
      <c r="E3" s="50" t="str">
        <f t="shared" si="7"/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ref="L3:W3" si="8">IF(L$5="",K$3,IFERROR(MATCH(L$5,prodArrayNames,0),"-"))</f>
        <v>-</v>
      </c>
      <c r="M3" s="50" t="str">
        <f t="shared" si="8"/>
        <v>-</v>
      </c>
      <c r="N3" s="50" t="str">
        <f t="shared" si="8"/>
        <v>-</v>
      </c>
      <c r="O3" s="50" t="str">
        <f t="shared" si="8"/>
        <v>-</v>
      </c>
      <c r="P3" s="50" t="str">
        <f t="shared" si="8"/>
        <v>-</v>
      </c>
      <c r="Q3" s="50" t="str">
        <f t="shared" si="8"/>
        <v>-</v>
      </c>
      <c r="R3" s="50" t="str">
        <f t="shared" si="8"/>
        <v>-</v>
      </c>
      <c r="S3" s="50" t="str">
        <f t="shared" si="8"/>
        <v>-</v>
      </c>
      <c r="T3" s="50" t="str">
        <f t="shared" si="8"/>
        <v>-</v>
      </c>
      <c r="U3" s="50" t="str">
        <f t="shared" si="8"/>
        <v>-</v>
      </c>
      <c r="V3" s="50" t="str">
        <f t="shared" si="8"/>
        <v>-</v>
      </c>
      <c r="W3" s="50" t="str">
        <f t="shared" si="8"/>
        <v>-</v>
      </c>
      <c r="X3" s="50" t="str">
        <f>IF(X$5="",H$3,IFERROR(MATCH(X$5,prodArrayNames,0),"-"))</f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 t="shared" ref="AA3:BQ3" si="9">IF(AA$5="",Z$3,IFERROR(MATCH(AA$5,prodArrayNames,0),"-"))</f>
        <v>-</v>
      </c>
      <c r="AB3" s="50" t="str">
        <f t="shared" si="9"/>
        <v>-</v>
      </c>
      <c r="AC3" s="50" t="str">
        <f t="shared" si="9"/>
        <v>-</v>
      </c>
      <c r="AD3" s="50" t="str">
        <f t="shared" si="9"/>
        <v>-</v>
      </c>
      <c r="AE3" s="50" t="str">
        <f t="shared" si="9"/>
        <v>-</v>
      </c>
      <c r="AF3" s="50" t="str">
        <f t="shared" si="9"/>
        <v>-</v>
      </c>
      <c r="AG3" s="50" t="str">
        <f t="shared" si="9"/>
        <v>-</v>
      </c>
      <c r="AH3" s="50" t="str">
        <f t="shared" si="9"/>
        <v>-</v>
      </c>
      <c r="AI3" s="50" t="str">
        <f t="shared" si="9"/>
        <v>-</v>
      </c>
      <c r="AJ3" s="50" t="str">
        <f t="shared" si="9"/>
        <v>-</v>
      </c>
      <c r="AK3" s="50" t="str">
        <f t="shared" si="9"/>
        <v>-</v>
      </c>
      <c r="AL3" s="50" t="str">
        <f t="shared" si="9"/>
        <v>-</v>
      </c>
      <c r="AM3" s="50" t="str">
        <f t="shared" si="9"/>
        <v>-</v>
      </c>
      <c r="AN3" s="50" t="str">
        <f t="shared" si="9"/>
        <v>-</v>
      </c>
      <c r="AO3" s="50" t="str">
        <f t="shared" si="9"/>
        <v>-</v>
      </c>
      <c r="AP3" s="50" t="str">
        <f t="shared" si="9"/>
        <v>-</v>
      </c>
      <c r="AQ3" s="50" t="str">
        <f t="shared" si="9"/>
        <v>-</v>
      </c>
      <c r="AR3" s="50" t="str">
        <f t="shared" si="9"/>
        <v>-</v>
      </c>
      <c r="AS3" s="50" t="str">
        <f t="shared" si="9"/>
        <v>-</v>
      </c>
      <c r="AT3" s="50" t="str">
        <f t="shared" si="9"/>
        <v>-</v>
      </c>
      <c r="AU3" s="50" t="str">
        <f t="shared" si="9"/>
        <v>-</v>
      </c>
      <c r="AV3" s="50" t="str">
        <f t="shared" si="9"/>
        <v>-</v>
      </c>
      <c r="AW3" s="50" t="str">
        <f t="shared" si="9"/>
        <v>-</v>
      </c>
      <c r="AX3" s="50" t="str">
        <f t="shared" si="9"/>
        <v>-</v>
      </c>
      <c r="AY3" s="50" t="str">
        <f t="shared" si="9"/>
        <v>-</v>
      </c>
      <c r="AZ3" s="50" t="str">
        <f t="shared" si="9"/>
        <v>-</v>
      </c>
      <c r="BA3" s="50" t="str">
        <f t="shared" si="9"/>
        <v>-</v>
      </c>
      <c r="BB3" s="50" t="str">
        <f t="shared" si="9"/>
        <v>-</v>
      </c>
      <c r="BC3" s="50" t="str">
        <f t="shared" si="9"/>
        <v>-</v>
      </c>
      <c r="BD3" s="50" t="str">
        <f t="shared" si="9"/>
        <v>-</v>
      </c>
      <c r="BE3" s="50" t="str">
        <f t="shared" si="9"/>
        <v>-</v>
      </c>
      <c r="BF3" s="50" t="str">
        <f t="shared" si="9"/>
        <v>-</v>
      </c>
      <c r="BG3" s="50" t="str">
        <f t="shared" si="9"/>
        <v>-</v>
      </c>
      <c r="BH3" s="50" t="str">
        <f t="shared" si="9"/>
        <v>-</v>
      </c>
      <c r="BI3" s="50" t="str">
        <f t="shared" si="9"/>
        <v>-</v>
      </c>
      <c r="BJ3" s="50" t="str">
        <f t="shared" si="9"/>
        <v>-</v>
      </c>
      <c r="BK3" s="50" t="str">
        <f t="shared" si="9"/>
        <v>-</v>
      </c>
      <c r="BL3" s="50" t="str">
        <f t="shared" si="9"/>
        <v>-</v>
      </c>
      <c r="BM3" s="50" t="str">
        <f t="shared" si="9"/>
        <v>-</v>
      </c>
      <c r="BN3" s="50" t="str">
        <f t="shared" si="9"/>
        <v>-</v>
      </c>
      <c r="BO3" s="50" t="str">
        <f t="shared" si="9"/>
        <v>-</v>
      </c>
      <c r="BP3" s="50" t="str">
        <f t="shared" si="9"/>
        <v>-</v>
      </c>
      <c r="BQ3" s="50" t="str">
        <f t="shared" si="9"/>
        <v>-</v>
      </c>
      <c r="BR3" s="94"/>
    </row>
    <row r="4" spans="1:71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94"/>
    </row>
    <row r="5" spans="1:71" ht="22.5" customHeight="1" thickTop="1" x14ac:dyDescent="0.3">
      <c r="A5" s="28" t="s">
        <v>87</v>
      </c>
      <c r="B5" s="95" t="s">
        <v>1228</v>
      </c>
      <c r="C5" s="95"/>
      <c r="D5" s="95" t="s">
        <v>1286</v>
      </c>
      <c r="E5" s="95" t="s">
        <v>1230</v>
      </c>
      <c r="F5" s="95"/>
      <c r="G5" s="95" t="s">
        <v>1234</v>
      </c>
      <c r="H5" s="95"/>
      <c r="I5" s="95" t="s">
        <v>1231</v>
      </c>
      <c r="J5" s="95" t="s">
        <v>1232</v>
      </c>
      <c r="K5" s="95" t="s">
        <v>1233</v>
      </c>
      <c r="L5" s="95" t="s">
        <v>1235</v>
      </c>
      <c r="M5" s="95" t="s">
        <v>1239</v>
      </c>
      <c r="N5" s="95" t="s">
        <v>1241</v>
      </c>
      <c r="O5" s="95" t="s">
        <v>673</v>
      </c>
      <c r="P5" s="95" t="s">
        <v>675</v>
      </c>
      <c r="Q5" s="95" t="s">
        <v>1283</v>
      </c>
      <c r="R5" s="95" t="s">
        <v>1284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237</v>
      </c>
      <c r="BR5" s="94" t="s">
        <v>148</v>
      </c>
      <c r="BS5" s="15"/>
    </row>
    <row r="6" spans="1:71" ht="22.5" customHeight="1" x14ac:dyDescent="0.3">
      <c r="A6" s="28" t="s">
        <v>13</v>
      </c>
      <c r="B6" s="17" t="s">
        <v>1274</v>
      </c>
      <c r="C6" s="17" t="s">
        <v>1247</v>
      </c>
      <c r="D6" s="17" t="s">
        <v>1304</v>
      </c>
      <c r="E6" s="17" t="s">
        <v>122</v>
      </c>
      <c r="F6" s="17" t="s">
        <v>134</v>
      </c>
      <c r="G6" s="17" t="s">
        <v>122</v>
      </c>
      <c r="H6" s="17" t="s">
        <v>134</v>
      </c>
      <c r="I6" s="17" t="s">
        <v>1257</v>
      </c>
      <c r="J6" s="17">
        <v>2</v>
      </c>
      <c r="K6" s="17">
        <v>3.5000000000000003E-2</v>
      </c>
      <c r="L6" s="17">
        <v>0.02</v>
      </c>
      <c r="M6" s="17">
        <v>0.04</v>
      </c>
      <c r="N6" s="17">
        <v>0.04</v>
      </c>
      <c r="O6" s="17">
        <v>2.0500000000000001E-2</v>
      </c>
      <c r="P6" s="17">
        <v>1.2E-2</v>
      </c>
      <c r="Q6" s="17">
        <v>0.35</v>
      </c>
      <c r="R6" s="17">
        <v>0.35</v>
      </c>
      <c r="BQ6" s="17">
        <v>0</v>
      </c>
      <c r="BR6" s="94" t="s">
        <v>89</v>
      </c>
    </row>
    <row r="7" spans="1:71" ht="22.5" customHeight="1" x14ac:dyDescent="0.3">
      <c r="A7" s="28"/>
      <c r="B7" s="17" t="s">
        <v>1275</v>
      </c>
      <c r="C7" s="17" t="s">
        <v>1248</v>
      </c>
      <c r="D7" s="17" t="s">
        <v>1305</v>
      </c>
      <c r="E7" s="17" t="s">
        <v>1254</v>
      </c>
      <c r="F7" s="17" t="s">
        <v>1244</v>
      </c>
      <c r="G7" s="17" t="s">
        <v>1257</v>
      </c>
      <c r="H7" s="17" t="s">
        <v>1258</v>
      </c>
      <c r="I7" s="17" t="s">
        <v>1270</v>
      </c>
      <c r="J7" s="17">
        <v>3</v>
      </c>
      <c r="M7" s="17">
        <v>0.06</v>
      </c>
      <c r="N7" s="17">
        <v>0.05</v>
      </c>
      <c r="O7" s="17">
        <v>2.8500000000000001E-2</v>
      </c>
      <c r="P7" s="17">
        <v>1.2999999999999999E-2</v>
      </c>
      <c r="BQ7" s="17">
        <v>1</v>
      </c>
      <c r="BR7" s="33"/>
    </row>
    <row r="8" spans="1:71" ht="22.5" customHeight="1" x14ac:dyDescent="0.3">
      <c r="B8" s="17" t="s">
        <v>1276</v>
      </c>
      <c r="C8" s="17" t="s">
        <v>1291</v>
      </c>
      <c r="D8" s="17" t="s">
        <v>1306</v>
      </c>
      <c r="E8" s="17" t="s">
        <v>1255</v>
      </c>
      <c r="F8" s="17" t="s">
        <v>1252</v>
      </c>
      <c r="G8" s="17" t="s">
        <v>48</v>
      </c>
      <c r="H8" s="17" t="s">
        <v>1319</v>
      </c>
      <c r="I8" s="17" t="s">
        <v>922</v>
      </c>
      <c r="J8" s="17">
        <v>4</v>
      </c>
      <c r="BQ8" s="17">
        <v>2</v>
      </c>
      <c r="BR8" s="33"/>
    </row>
    <row r="9" spans="1:71" ht="22.5" customHeight="1" x14ac:dyDescent="0.3">
      <c r="B9" s="17" t="s">
        <v>1277</v>
      </c>
      <c r="C9" s="17" t="s">
        <v>1273</v>
      </c>
      <c r="D9" s="17" t="s">
        <v>1307</v>
      </c>
      <c r="E9" s="17" t="s">
        <v>1256</v>
      </c>
      <c r="F9" s="17" t="s">
        <v>1253</v>
      </c>
      <c r="G9" s="17" t="s">
        <v>19</v>
      </c>
      <c r="H9" s="17" t="s">
        <v>1320</v>
      </c>
      <c r="BQ9" s="17">
        <v>3</v>
      </c>
    </row>
    <row r="10" spans="1:71" ht="22.5" customHeight="1" x14ac:dyDescent="0.3">
      <c r="B10" s="17" t="s">
        <v>1292</v>
      </c>
      <c r="C10" s="17" t="s">
        <v>1294</v>
      </c>
      <c r="D10" s="17" t="s">
        <v>1308</v>
      </c>
      <c r="E10" s="17" t="s">
        <v>1288</v>
      </c>
      <c r="F10" s="17" t="s">
        <v>1289</v>
      </c>
      <c r="G10" s="17" t="s">
        <v>1321</v>
      </c>
      <c r="H10" s="17" t="s">
        <v>1322</v>
      </c>
      <c r="BQ10" s="17">
        <v>4</v>
      </c>
    </row>
    <row r="11" spans="1:71" ht="22.5" customHeight="1" x14ac:dyDescent="0.3">
      <c r="B11" s="17" t="s">
        <v>1293</v>
      </c>
      <c r="C11" s="17" t="s">
        <v>1295</v>
      </c>
      <c r="G11" s="17" t="s">
        <v>85</v>
      </c>
      <c r="H11" s="17" t="s">
        <v>1323</v>
      </c>
      <c r="BQ11" s="17">
        <v>5</v>
      </c>
    </row>
    <row r="12" spans="1:71" ht="22.5" customHeight="1" x14ac:dyDescent="0.3">
      <c r="B12" s="17" t="s">
        <v>85</v>
      </c>
      <c r="C12" s="17" t="s">
        <v>1278</v>
      </c>
      <c r="G12" s="17" t="s">
        <v>1269</v>
      </c>
      <c r="H12" s="17" t="s">
        <v>1268</v>
      </c>
      <c r="BQ12" s="17">
        <v>6</v>
      </c>
    </row>
    <row r="13" spans="1:71" ht="22.5" customHeight="1" x14ac:dyDescent="0.3">
      <c r="B13" s="17" t="s">
        <v>1250</v>
      </c>
      <c r="C13" s="17" t="s">
        <v>1246</v>
      </c>
      <c r="G13" s="17" t="s">
        <v>1259</v>
      </c>
      <c r="H13" s="17" t="s">
        <v>1260</v>
      </c>
      <c r="BQ13" s="17">
        <v>7</v>
      </c>
    </row>
    <row r="14" spans="1:71" ht="22.5" customHeight="1" x14ac:dyDescent="0.3">
      <c r="B14" s="17" t="s">
        <v>1298</v>
      </c>
      <c r="C14" s="17" t="s">
        <v>1296</v>
      </c>
      <c r="G14" s="17" t="s">
        <v>1249</v>
      </c>
      <c r="H14" s="17" t="s">
        <v>1261</v>
      </c>
      <c r="BQ14" s="17">
        <v>8</v>
      </c>
    </row>
    <row r="15" spans="1:71" ht="22.5" customHeight="1" x14ac:dyDescent="0.3">
      <c r="B15" s="17" t="s">
        <v>1299</v>
      </c>
      <c r="C15" s="17" t="s">
        <v>1297</v>
      </c>
      <c r="G15" s="17" t="s">
        <v>1262</v>
      </c>
      <c r="H15" s="17" t="s">
        <v>1263</v>
      </c>
    </row>
    <row r="16" spans="1:71" ht="22.5" customHeight="1" x14ac:dyDescent="0.3">
      <c r="B16" s="17" t="s">
        <v>1302</v>
      </c>
      <c r="C16" s="17" t="s">
        <v>1300</v>
      </c>
      <c r="G16" s="17" t="s">
        <v>29</v>
      </c>
      <c r="H16" s="17" t="s">
        <v>1267</v>
      </c>
    </row>
    <row r="17" spans="2:8" ht="22.5" customHeight="1" x14ac:dyDescent="0.3">
      <c r="B17" s="17" t="s">
        <v>1303</v>
      </c>
      <c r="C17" s="17" t="s">
        <v>1301</v>
      </c>
      <c r="G17" s="17" t="s">
        <v>1251</v>
      </c>
      <c r="H17" s="17" t="s">
        <v>1265</v>
      </c>
    </row>
    <row r="18" spans="2:8" ht="22.5" customHeight="1" x14ac:dyDescent="0.3">
      <c r="B18" s="17" t="s">
        <v>1249</v>
      </c>
      <c r="C18" s="17" t="s">
        <v>1245</v>
      </c>
      <c r="G18" s="17" t="s">
        <v>61</v>
      </c>
      <c r="H18" s="17" t="s">
        <v>1266</v>
      </c>
    </row>
    <row r="19" spans="2:8" ht="22.5" customHeight="1" x14ac:dyDescent="0.3">
      <c r="B19" s="17" t="s">
        <v>86</v>
      </c>
      <c r="C19" s="17" t="s">
        <v>1359</v>
      </c>
      <c r="G19" s="17" t="s">
        <v>84</v>
      </c>
      <c r="H19" s="17" t="s">
        <v>1264</v>
      </c>
    </row>
    <row r="20" spans="2:8" ht="22.5" customHeight="1" x14ac:dyDescent="0.3">
      <c r="G20" s="17" t="s">
        <v>1290</v>
      </c>
      <c r="H20" s="17" t="s">
        <v>1324</v>
      </c>
    </row>
    <row r="21" spans="2:8" ht="22.5" customHeight="1" x14ac:dyDescent="0.3"/>
    <row r="22" spans="2:8" ht="22.5" customHeight="1" x14ac:dyDescent="0.3"/>
    <row r="23" spans="2:8" ht="22.5" customHeight="1" x14ac:dyDescent="0.3"/>
    <row r="24" spans="2:8" ht="22.5" customHeight="1" x14ac:dyDescent="0.3"/>
    <row r="25" spans="2:8" ht="22.5" customHeight="1" x14ac:dyDescent="0.3"/>
    <row r="26" spans="2:8" ht="22.5" customHeight="1" x14ac:dyDescent="0.3"/>
    <row r="27" spans="2:8" ht="22.5" customHeight="1" x14ac:dyDescent="0.3"/>
    <row r="28" spans="2:8" ht="22.5" customHeight="1" x14ac:dyDescent="0.3"/>
    <row r="29" spans="2:8" ht="22.5" customHeight="1" x14ac:dyDescent="0.3"/>
    <row r="30" spans="2:8" ht="22.5" customHeight="1" x14ac:dyDescent="0.3"/>
    <row r="31" spans="2:8" ht="22.5" customHeight="1" x14ac:dyDescent="0.3"/>
    <row r="32" spans="2:8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69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8"/>
  <sheetViews>
    <sheetView topLeftCell="A16" zoomScale="110" zoomScaleNormal="110" workbookViewId="0">
      <selection activeCell="A30" sqref="A30:XFD30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1374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</row>
    <row r="5" spans="1:5" s="123" customFormat="1" x14ac:dyDescent="0.3">
      <c r="A5" s="122" t="s">
        <v>1382</v>
      </c>
      <c r="B5" s="122">
        <v>1</v>
      </c>
      <c r="C5" s="123" t="s">
        <v>1383</v>
      </c>
      <c r="D5" s="123" t="s">
        <v>1398</v>
      </c>
      <c r="E5" s="248" t="str">
        <f>IF(LEN($C5)-LEN(D5)&lt;0,TEXT(LEN(D5)/LEN($C5),"0 %")&amp;" ("&amp;LEN(D5)-LEN($C5)&amp;")","")</f>
        <v>118 % (2)</v>
      </c>
    </row>
    <row r="6" spans="1:5" s="123" customFormat="1" x14ac:dyDescent="0.3">
      <c r="A6" s="122" t="s">
        <v>1382</v>
      </c>
      <c r="B6" s="122">
        <v>2</v>
      </c>
      <c r="C6" s="123" t="s">
        <v>1384</v>
      </c>
      <c r="D6" s="123" t="s">
        <v>1399</v>
      </c>
      <c r="E6" s="248" t="str">
        <f t="shared" ref="E6:E29" si="0">IF(LEN($C6)-LEN(D6)&lt;0,TEXT(LEN(D6)/LEN($C6),"0 %")&amp;" ("&amp;LEN(D6)-LEN($C6)&amp;")","")</f>
        <v/>
      </c>
    </row>
    <row r="7" spans="1:5" s="123" customFormat="1" x14ac:dyDescent="0.3">
      <c r="A7" s="122" t="s">
        <v>1382</v>
      </c>
      <c r="B7" s="122">
        <v>3</v>
      </c>
      <c r="C7" s="123" t="s">
        <v>1385</v>
      </c>
      <c r="D7" s="123" t="s">
        <v>1400</v>
      </c>
      <c r="E7" s="248" t="str">
        <f t="shared" si="0"/>
        <v/>
      </c>
    </row>
    <row r="8" spans="1:5" s="123" customFormat="1" x14ac:dyDescent="0.3">
      <c r="A8" s="122" t="s">
        <v>1382</v>
      </c>
      <c r="B8" s="122">
        <v>4</v>
      </c>
      <c r="C8" s="123" t="s">
        <v>1386</v>
      </c>
      <c r="D8" s="123" t="s">
        <v>1386</v>
      </c>
      <c r="E8" s="248" t="str">
        <f t="shared" si="0"/>
        <v/>
      </c>
    </row>
    <row r="9" spans="1:5" s="123" customFormat="1" x14ac:dyDescent="0.3">
      <c r="A9" s="122" t="s">
        <v>1382</v>
      </c>
      <c r="B9" s="122">
        <v>5</v>
      </c>
      <c r="C9" s="123" t="s">
        <v>1387</v>
      </c>
      <c r="D9" s="123" t="s">
        <v>1387</v>
      </c>
      <c r="E9" s="248" t="str">
        <f t="shared" si="0"/>
        <v/>
      </c>
    </row>
    <row r="10" spans="1:5" s="123" customFormat="1" x14ac:dyDescent="0.3">
      <c r="A10" s="122" t="s">
        <v>1382</v>
      </c>
      <c r="B10" s="122">
        <v>6</v>
      </c>
      <c r="C10" s="123" t="s">
        <v>1388</v>
      </c>
      <c r="D10" s="123" t="s">
        <v>1388</v>
      </c>
      <c r="E10" s="248" t="str">
        <f t="shared" si="0"/>
        <v/>
      </c>
    </row>
    <row r="11" spans="1:5" s="123" customFormat="1" x14ac:dyDescent="0.3">
      <c r="A11" s="122" t="s">
        <v>1382</v>
      </c>
      <c r="B11" s="122">
        <v>7</v>
      </c>
      <c r="C11" s="123" t="s">
        <v>1389</v>
      </c>
      <c r="D11" s="123" t="s">
        <v>1401</v>
      </c>
      <c r="E11" s="248" t="str">
        <f t="shared" si="0"/>
        <v/>
      </c>
    </row>
    <row r="12" spans="1:5" s="123" customFormat="1" x14ac:dyDescent="0.3">
      <c r="A12" s="122" t="s">
        <v>1382</v>
      </c>
      <c r="B12" s="122">
        <v>8</v>
      </c>
      <c r="C12" s="123" t="s">
        <v>620</v>
      </c>
      <c r="D12" s="123" t="s">
        <v>1402</v>
      </c>
      <c r="E12" s="248" t="str">
        <f t="shared" si="0"/>
        <v>113 % (1)</v>
      </c>
    </row>
    <row r="13" spans="1:5" s="123" customFormat="1" x14ac:dyDescent="0.3">
      <c r="A13" s="122" t="s">
        <v>1382</v>
      </c>
      <c r="B13" s="122">
        <v>9</v>
      </c>
      <c r="C13" s="123" t="s">
        <v>1390</v>
      </c>
      <c r="D13" s="123" t="s">
        <v>1390</v>
      </c>
      <c r="E13" s="248" t="str">
        <f t="shared" si="0"/>
        <v/>
      </c>
    </row>
    <row r="14" spans="1:5" s="123" customFormat="1" x14ac:dyDescent="0.3">
      <c r="A14" s="122" t="s">
        <v>1382</v>
      </c>
      <c r="B14" s="122">
        <v>10</v>
      </c>
      <c r="C14" s="123" t="s">
        <v>1391</v>
      </c>
      <c r="D14" s="123" t="s">
        <v>1391</v>
      </c>
      <c r="E14" s="248" t="str">
        <f t="shared" si="0"/>
        <v/>
      </c>
    </row>
    <row r="15" spans="1:5" s="123" customFormat="1" x14ac:dyDescent="0.3">
      <c r="A15" s="122" t="s">
        <v>1382</v>
      </c>
      <c r="B15" s="122">
        <v>11</v>
      </c>
      <c r="C15" s="123" t="s">
        <v>551</v>
      </c>
      <c r="D15" s="123" t="s">
        <v>1403</v>
      </c>
      <c r="E15" s="248" t="str">
        <f t="shared" si="0"/>
        <v/>
      </c>
    </row>
    <row r="16" spans="1:5" s="123" customFormat="1" x14ac:dyDescent="0.3">
      <c r="A16" s="122" t="s">
        <v>1382</v>
      </c>
      <c r="B16" s="122">
        <v>12</v>
      </c>
      <c r="C16" s="123" t="s">
        <v>1392</v>
      </c>
      <c r="D16" s="123" t="s">
        <v>1392</v>
      </c>
      <c r="E16" s="248" t="str">
        <f t="shared" si="0"/>
        <v/>
      </c>
    </row>
    <row r="17" spans="1:5" ht="15.6" x14ac:dyDescent="0.3">
      <c r="A17" s="117" t="str">
        <f>"! --- "&amp;INDEX(MLtextDivisions,2)</f>
        <v>! --- User Interface - Tooltip text</v>
      </c>
      <c r="E17" s="248" t="str">
        <f t="shared" si="0"/>
        <v/>
      </c>
    </row>
    <row r="18" spans="1:5" s="123" customFormat="1" x14ac:dyDescent="0.3">
      <c r="A18" s="122" t="s">
        <v>1393</v>
      </c>
      <c r="B18" s="122">
        <v>1</v>
      </c>
      <c r="C18" s="123" t="s">
        <v>1225</v>
      </c>
      <c r="D18" s="123" t="s">
        <v>1225</v>
      </c>
      <c r="E18" s="248" t="str">
        <f t="shared" si="0"/>
        <v/>
      </c>
    </row>
    <row r="19" spans="1:5" s="123" customFormat="1" x14ac:dyDescent="0.3">
      <c r="A19" s="122" t="s">
        <v>1393</v>
      </c>
      <c r="B19" s="122">
        <v>2</v>
      </c>
      <c r="C19" s="123" t="s">
        <v>661</v>
      </c>
      <c r="D19" s="123" t="s">
        <v>661</v>
      </c>
      <c r="E19" s="248" t="str">
        <f t="shared" si="0"/>
        <v/>
      </c>
    </row>
    <row r="20" spans="1:5" s="123" customFormat="1" x14ac:dyDescent="0.3">
      <c r="A20" s="122" t="s">
        <v>1393</v>
      </c>
      <c r="B20" s="122">
        <v>3</v>
      </c>
      <c r="C20" s="123" t="s">
        <v>1394</v>
      </c>
      <c r="D20" s="123" t="s">
        <v>1394</v>
      </c>
      <c r="E20" s="248" t="str">
        <f t="shared" si="0"/>
        <v/>
      </c>
    </row>
    <row r="21" spans="1:5" s="123" customFormat="1" x14ac:dyDescent="0.3">
      <c r="A21" s="122" t="s">
        <v>1393</v>
      </c>
      <c r="B21" s="122">
        <v>4</v>
      </c>
      <c r="C21" s="123" t="s">
        <v>1395</v>
      </c>
      <c r="D21" s="123" t="s">
        <v>1395</v>
      </c>
      <c r="E21" s="248" t="str">
        <f t="shared" si="0"/>
        <v/>
      </c>
    </row>
    <row r="22" spans="1:5" s="123" customFormat="1" x14ac:dyDescent="0.3">
      <c r="A22" s="122" t="s">
        <v>1393</v>
      </c>
      <c r="B22" s="122">
        <v>5</v>
      </c>
      <c r="C22" s="123" t="s">
        <v>1229</v>
      </c>
      <c r="D22" s="123" t="s">
        <v>1229</v>
      </c>
      <c r="E22" s="248" t="str">
        <f t="shared" si="0"/>
        <v/>
      </c>
    </row>
    <row r="23" spans="1:5" s="123" customFormat="1" x14ac:dyDescent="0.3">
      <c r="A23" s="122" t="s">
        <v>1393</v>
      </c>
      <c r="B23" s="122">
        <v>6</v>
      </c>
      <c r="C23" s="123" t="s">
        <v>669</v>
      </c>
      <c r="D23" s="123" t="s">
        <v>669</v>
      </c>
      <c r="E23" s="248" t="str">
        <f t="shared" si="0"/>
        <v/>
      </c>
    </row>
    <row r="24" spans="1:5" s="123" customFormat="1" x14ac:dyDescent="0.3">
      <c r="A24" s="122" t="s">
        <v>1393</v>
      </c>
      <c r="B24" s="122">
        <v>7</v>
      </c>
      <c r="C24" s="123" t="s">
        <v>1396</v>
      </c>
      <c r="D24" s="123" t="s">
        <v>1396</v>
      </c>
      <c r="E24" s="248" t="str">
        <f t="shared" si="0"/>
        <v/>
      </c>
    </row>
    <row r="25" spans="1:5" s="123" customFormat="1" x14ac:dyDescent="0.3">
      <c r="A25" s="122" t="s">
        <v>1393</v>
      </c>
      <c r="B25" s="122">
        <v>8</v>
      </c>
      <c r="C25" s="123" t="s">
        <v>1397</v>
      </c>
      <c r="D25" s="123" t="s">
        <v>1397</v>
      </c>
      <c r="E25" s="248" t="str">
        <f t="shared" si="0"/>
        <v/>
      </c>
    </row>
    <row r="26" spans="1:5" s="123" customFormat="1" x14ac:dyDescent="0.3">
      <c r="A26" s="122" t="s">
        <v>1393</v>
      </c>
      <c r="B26" s="122">
        <v>9</v>
      </c>
      <c r="C26" s="123" t="s">
        <v>659</v>
      </c>
      <c r="D26" s="123" t="s">
        <v>659</v>
      </c>
      <c r="E26" s="248" t="str">
        <f t="shared" si="0"/>
        <v/>
      </c>
    </row>
    <row r="27" spans="1:5" s="123" customFormat="1" x14ac:dyDescent="0.3">
      <c r="A27" s="122" t="s">
        <v>1393</v>
      </c>
      <c r="B27" s="122">
        <v>10</v>
      </c>
      <c r="C27" s="123" t="s">
        <v>676</v>
      </c>
      <c r="D27" s="123" t="s">
        <v>676</v>
      </c>
      <c r="E27" s="248" t="str">
        <f t="shared" si="0"/>
        <v/>
      </c>
    </row>
    <row r="28" spans="1:5" s="123" customFormat="1" x14ac:dyDescent="0.3">
      <c r="A28" s="122" t="s">
        <v>1393</v>
      </c>
      <c r="B28" s="122">
        <v>111</v>
      </c>
      <c r="C28" s="123" t="s">
        <v>674</v>
      </c>
      <c r="D28" s="123" t="s">
        <v>674</v>
      </c>
      <c r="E28" s="248" t="str">
        <f t="shared" si="0"/>
        <v/>
      </c>
    </row>
    <row r="29" spans="1:5" ht="15.6" x14ac:dyDescent="0.3">
      <c r="A29" s="117" t="str">
        <f>"! --- "&amp;INDEX(MLtextDivisions,3)</f>
        <v>! --- Parameter Script - VALUES</v>
      </c>
      <c r="E29" s="248" t="str">
        <f t="shared" si="0"/>
        <v/>
      </c>
    </row>
    <row r="30" spans="1:5" s="123" customFormat="1" x14ac:dyDescent="0.3">
      <c r="A30" s="122" t="s">
        <v>1371</v>
      </c>
      <c r="B30" s="122">
        <v>1</v>
      </c>
      <c r="C30" s="123" t="s">
        <v>1372</v>
      </c>
      <c r="D30" s="123" t="s">
        <v>1373</v>
      </c>
      <c r="E30" s="248" t="str">
        <f>IF(LEN($C30)-LEN(D30)&lt;0,TEXT(LEN(D30)/LEN($C30),"0 %")&amp;" ("&amp;LEN(D30)-LEN($C30)&amp;")","")</f>
        <v/>
      </c>
    </row>
    <row r="31" spans="1:5" s="123" customFormat="1" x14ac:dyDescent="0.3">
      <c r="A31" s="122"/>
      <c r="B31" s="122"/>
      <c r="E31" s="248" t="str">
        <f t="shared" ref="E31:E38" si="1">IF(LEN($C31)-LEN(D31)&lt;0,TEXT(LEN(D31)/LEN($C31),"0 %")&amp;" ("&amp;LEN(D31)-LEN($C31)&amp;")","")</f>
        <v/>
      </c>
    </row>
    <row r="32" spans="1:5" ht="15.6" x14ac:dyDescent="0.3">
      <c r="A32" s="117" t="str">
        <f>"! --- "&amp;INDEX(MLtextDivisions,4)</f>
        <v>! --- Common Text</v>
      </c>
      <c r="E32" s="248" t="str">
        <f t="shared" si="1"/>
        <v/>
      </c>
    </row>
    <row r="33" spans="1:5" x14ac:dyDescent="0.3">
      <c r="A33" s="122" t="s">
        <v>1375</v>
      </c>
      <c r="B33" s="118">
        <v>1</v>
      </c>
      <c r="C33" t="s">
        <v>1244</v>
      </c>
      <c r="D33" t="s">
        <v>1376</v>
      </c>
      <c r="E33" s="248" t="str">
        <f t="shared" si="1"/>
        <v/>
      </c>
    </row>
    <row r="34" spans="1:5" x14ac:dyDescent="0.3">
      <c r="A34" s="122" t="s">
        <v>1375</v>
      </c>
      <c r="B34" s="118">
        <v>2</v>
      </c>
      <c r="C34" t="s">
        <v>1253</v>
      </c>
      <c r="D34" t="s">
        <v>1253</v>
      </c>
      <c r="E34" s="248" t="str">
        <f t="shared" si="1"/>
        <v/>
      </c>
    </row>
    <row r="35" spans="1:5" x14ac:dyDescent="0.3">
      <c r="A35" s="122" t="s">
        <v>1375</v>
      </c>
      <c r="B35" s="118">
        <v>3</v>
      </c>
      <c r="C35" t="s">
        <v>1377</v>
      </c>
      <c r="D35" t="s">
        <v>1378</v>
      </c>
      <c r="E35" s="248" t="str">
        <f t="shared" si="1"/>
        <v/>
      </c>
    </row>
    <row r="36" spans="1:5" s="123" customFormat="1" x14ac:dyDescent="0.3">
      <c r="A36" s="122" t="s">
        <v>1375</v>
      </c>
      <c r="B36" s="118">
        <v>4</v>
      </c>
      <c r="C36" t="s">
        <v>1379</v>
      </c>
      <c r="D36" t="s">
        <v>1380</v>
      </c>
      <c r="E36" s="248" t="str">
        <f t="shared" si="1"/>
        <v/>
      </c>
    </row>
    <row r="37" spans="1:5" s="123" customFormat="1" ht="15.6" x14ac:dyDescent="0.3">
      <c r="A37" s="121"/>
      <c r="B37" s="122"/>
      <c r="E37" s="248" t="str">
        <f t="shared" si="1"/>
        <v/>
      </c>
    </row>
    <row r="38" spans="1:5" ht="15.6" x14ac:dyDescent="0.3">
      <c r="A38" s="117" t="str">
        <f>"! --- END"</f>
        <v>! --- END</v>
      </c>
      <c r="E38" s="248" t="str">
        <f t="shared" si="1"/>
        <v/>
      </c>
    </row>
  </sheetData>
  <sortState ref="A19:E30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4" t="str">
        <f>"-&gt; PROPERTY-CONTEXT"</f>
        <v>-&gt; PROPERTY-CONTEXT</v>
      </c>
      <c r="F1" s="254"/>
      <c r="G1" s="254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5" t="s">
        <v>125</v>
      </c>
      <c r="T1" s="255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-92424BA24017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6" t="str">
        <f>'RAW IMPORT'!A1</f>
        <v>Produkt</v>
      </c>
      <c r="B1" s="256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7" t="s">
        <v>96</v>
      </c>
      <c r="B1" s="258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2025-09-12T12:53:52Z</dcterms:modified>
</cp:coreProperties>
</file>